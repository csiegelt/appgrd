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Leer primero" sheetId="1" r:id="rId1"/>
    <sheet name="Reg Intro" sheetId="2" r:id="rId2"/>
    <sheet name="Reg Paises" sheetId="3" r:id="rId3"/>
    <sheet name="Reg Salud" sheetId="4" r:id="rId4"/>
    <sheet name="Reg Gaseosas" sheetId="5" r:id="rId5"/>
    <sheet name="Reg Cigarrillos" sheetId="6" r:id="rId6"/>
    <sheet name="Finanzas" sheetId="7" r:id="rId7"/>
    <sheet name="Chi Muestra" sheetId="8" r:id="rId8"/>
    <sheet name="Chi guardada" sheetId="9" r:id="rId9"/>
    <sheet name="Chi ABC" sheetId="10" r:id="rId10"/>
    <sheet name="Base pacientes" sheetId="11" r:id="rId11"/>
    <sheet name="Arancel practica" sheetId="12" r:id="rId12"/>
    <sheet name="Base continentes" sheetId="13" r:id="rId13"/>
    <sheet name="Continentes" sheetId="14" r:id="rId14"/>
    <sheet name="Salud resumen" sheetId="15" r:id="rId15"/>
    <sheet name="Erlang horas" sheetId="16" r:id="rId16"/>
  </sheets>
  <calcPr calcId="191029" fullCalcOnLoad="1" forceFullCalc="1"/>
</workbook>
</file>

<file path=xl/styles.xml><?xml version="1.0" encoding="utf-8"?>
<styleSheet xmlns="http://schemas.openxmlformats.org/spreadsheetml/2006/main">
  <fonts count="3">
    <font>
      <sz val="11"/>
      <color rgb="FF163247"/>
      <name val="Calibri"/>
    </font>
    <font>
      <b/>
      <sz val="12"/>
      <color rgb="FFFFFFFF"/>
      <name val="Calibri"/>
    </font>
    <font>
      <sz val="11"/>
      <color rgb="FF1555A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63247"/>
        <bgColor indexed="64"/>
      </patternFill>
    </fill>
    <fill>
      <patternFill patternType="solid">
        <fgColor rgb="FFEAF1FF"/>
        <bgColor indexed="64"/>
      </patternFill>
    </fill>
    <fill>
      <patternFill patternType="solid">
        <fgColor rgb="FFE9F5F3"/>
        <bgColor indexed="64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/>
    <xf numFmtId="0" fontId="2" fillId="3" borderId="0" xfId="0"/>
    <xf numFmtId="0" fontId="0" fillId="4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Reg Intro</a:t>
            </a:r>
          </a:p>
        </c:rich>
      </c:tx>
      <c:overlay val="0"/>
    </c:title>
    <c:plotArea>
      <c:layout/>
      <c:scatterChart>
        <c:scatterStyle val="marker"/>
        <c:ser>
          <c:idx val="0"/>
          <c:order val="0"/>
          <c:tx>
            <c:v>Y</c:v>
          </c:tx>
          <c:spPr>
            <a:solidFill>
              <a:srgbClr val="007D83"/>
            </a:solidFill>
            <a:ln>
              <a:noFill/>
            </a:ln>
          </c:spPr>
          <c:marker>
            <c:symbol val="circle"/>
            <c:size val="5"/>
          </c:marker>
          <c:trendline>
            <c:trendlineType val="linear"/>
            <c:dispRSqr val="1"/>
            <c:dispEq val="1"/>
          </c:trendline>
          <c:xVal>
            <c:numRef>
              <c:f>'Reg Intro'!$B$5:$B$8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15</c:v>
                </c:pt>
                <c:pt idx="3">
                  <c:v>18</c:v>
                </c:pt>
              </c:numCache>
            </c:numRef>
          </c:xVal>
          <c:yVal>
            <c:numRef>
              <c:f>'Reg Intro'!$C$5:$C$8</c:f>
              <c:numCache>
                <c:formatCode>General</c:formatCode>
                <c:ptCount val="4"/>
                <c:pt idx="0">
                  <c:v>15</c:v>
                </c:pt>
                <c:pt idx="1">
                  <c:v>10</c:v>
                </c:pt>
                <c:pt idx="2">
                  <c:v>3</c:v>
                </c:pt>
                <c:pt idx="3">
                  <c:v>4</c:v>
                </c:pt>
              </c:numCache>
            </c:numRef>
          </c:yVal>
        </c:ser>
        <c:axId val="100"/>
        <c:axId val="200"/>
      </c:scatterChart>
      <c:val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Reg Paises</a:t>
            </a:r>
          </a:p>
        </c:rich>
      </c:tx>
      <c:overlay val="0"/>
    </c:title>
    <c:plotArea>
      <c:layout/>
      <c:scatterChart>
        <c:scatterStyle val="marker"/>
        <c:ser>
          <c:idx val="0"/>
          <c:order val="0"/>
          <c:tx>
            <c:v>Esperanza vida (años)</c:v>
          </c:tx>
          <c:spPr>
            <a:solidFill>
              <a:srgbClr val="007D83"/>
            </a:solidFill>
            <a:ln>
              <a:noFill/>
            </a:ln>
          </c:spPr>
          <c:marker>
            <c:symbol val="circle"/>
            <c:size val="5"/>
          </c:marker>
          <c:trendline>
            <c:trendlineType val="linear"/>
            <c:dispRSqr val="1"/>
            <c:dispEq val="1"/>
          </c:trendline>
          <c:xVal>
            <c:numRef>
              <c:f>'Reg Paises'!$B$5:$B$230</c:f>
              <c:numCache>
                <c:formatCode>General</c:formatCode>
                <c:ptCount val="226"/>
                <c:pt idx="0">
                  <c:v>800</c:v>
                </c:pt>
                <c:pt idx="1">
                  <c:v>6000</c:v>
                </c:pt>
                <c:pt idx="2">
                  <c:v>7000</c:v>
                </c:pt>
                <c:pt idx="3">
                  <c:v>8000</c:v>
                </c:pt>
                <c:pt idx="4">
                  <c:v>42500</c:v>
                </c:pt>
                <c:pt idx="5">
                  <c:v>8800</c:v>
                </c:pt>
                <c:pt idx="6">
                  <c:v>8800</c:v>
                </c:pt>
                <c:pt idx="7">
                  <c:v>19000</c:v>
                </c:pt>
                <c:pt idx="8">
                  <c:v>14200</c:v>
                </c:pt>
                <c:pt idx="9">
                  <c:v>6400</c:v>
                </c:pt>
                <c:pt idx="10">
                  <c:v>21800</c:v>
                </c:pt>
                <c:pt idx="11">
                  <c:v>38100</c:v>
                </c:pt>
                <c:pt idx="12">
                  <c:v>39200</c:v>
                </c:pt>
                <c:pt idx="13">
                  <c:v>9000</c:v>
                </c:pt>
                <c:pt idx="14">
                  <c:v>28600</c:v>
                </c:pt>
                <c:pt idx="15">
                  <c:v>37200</c:v>
                </c:pt>
                <c:pt idx="16">
                  <c:v>1500</c:v>
                </c:pt>
                <c:pt idx="17">
                  <c:v>19300</c:v>
                </c:pt>
                <c:pt idx="18">
                  <c:v>11800</c:v>
                </c:pt>
                <c:pt idx="19">
                  <c:v>37500</c:v>
                </c:pt>
                <c:pt idx="20">
                  <c:v>8600</c:v>
                </c:pt>
                <c:pt idx="21">
                  <c:v>1500</c:v>
                </c:pt>
                <c:pt idx="22">
                  <c:v>69900</c:v>
                </c:pt>
                <c:pt idx="23">
                  <c:v>5600</c:v>
                </c:pt>
                <c:pt idx="24">
                  <c:v>4500</c:v>
                </c:pt>
                <c:pt idx="25">
                  <c:v>6500</c:v>
                </c:pt>
                <c:pt idx="26">
                  <c:v>13300</c:v>
                </c:pt>
                <c:pt idx="27">
                  <c:v>10100</c:v>
                </c:pt>
                <c:pt idx="28">
                  <c:v>38500</c:v>
                </c:pt>
                <c:pt idx="29">
                  <c:v>53100</c:v>
                </c:pt>
                <c:pt idx="30">
                  <c:v>12900</c:v>
                </c:pt>
                <c:pt idx="31">
                  <c:v>1200</c:v>
                </c:pt>
                <c:pt idx="32">
                  <c:v>1200</c:v>
                </c:pt>
                <c:pt idx="33">
                  <c:v>400</c:v>
                </c:pt>
                <c:pt idx="34">
                  <c:v>2000</c:v>
                </c:pt>
                <c:pt idx="35">
                  <c:v>2300</c:v>
                </c:pt>
                <c:pt idx="36">
                  <c:v>39300</c:v>
                </c:pt>
                <c:pt idx="37">
                  <c:v>3800</c:v>
                </c:pt>
                <c:pt idx="38">
                  <c:v>43800</c:v>
                </c:pt>
                <c:pt idx="39">
                  <c:v>700</c:v>
                </c:pt>
                <c:pt idx="40">
                  <c:v>1600</c:v>
                </c:pt>
                <c:pt idx="41">
                  <c:v>14900</c:v>
                </c:pt>
                <c:pt idx="42">
                  <c:v>6000</c:v>
                </c:pt>
                <c:pt idx="43">
                  <c:v>8900</c:v>
                </c:pt>
                <c:pt idx="44">
                  <c:v>1000</c:v>
                </c:pt>
                <c:pt idx="45">
                  <c:v>300</c:v>
                </c:pt>
                <c:pt idx="46">
                  <c:v>4000</c:v>
                </c:pt>
                <c:pt idx="47">
                  <c:v>9100</c:v>
                </c:pt>
                <c:pt idx="48">
                  <c:v>11600</c:v>
                </c:pt>
                <c:pt idx="49">
                  <c:v>1700</c:v>
                </c:pt>
                <c:pt idx="50">
                  <c:v>16100.000000000002</c:v>
                </c:pt>
                <c:pt idx="51">
                  <c:v>9500</c:v>
                </c:pt>
                <c:pt idx="52">
                  <c:v>28600</c:v>
                </c:pt>
                <c:pt idx="53">
                  <c:v>26100</c:v>
                </c:pt>
                <c:pt idx="54">
                  <c:v>37400</c:v>
                </c:pt>
                <c:pt idx="55">
                  <c:v>3700</c:v>
                </c:pt>
                <c:pt idx="56">
                  <c:v>9900</c:v>
                </c:pt>
                <c:pt idx="57">
                  <c:v>8100</c:v>
                </c:pt>
                <c:pt idx="58">
                  <c:v>7500</c:v>
                </c:pt>
                <c:pt idx="59">
                  <c:v>5400</c:v>
                </c:pt>
                <c:pt idx="60">
                  <c:v>6200</c:v>
                </c:pt>
                <c:pt idx="61">
                  <c:v>31400</c:v>
                </c:pt>
                <c:pt idx="62">
                  <c:v>700</c:v>
                </c:pt>
                <c:pt idx="63">
                  <c:v>21200</c:v>
                </c:pt>
                <c:pt idx="64">
                  <c:v>800</c:v>
                </c:pt>
                <c:pt idx="65">
                  <c:v>31000</c:v>
                </c:pt>
                <c:pt idx="66">
                  <c:v>3900</c:v>
                </c:pt>
                <c:pt idx="67">
                  <c:v>37200</c:v>
                </c:pt>
                <c:pt idx="68">
                  <c:v>32700.000000000004</c:v>
                </c:pt>
                <c:pt idx="69">
                  <c:v>18000</c:v>
                </c:pt>
                <c:pt idx="70">
                  <c:v>14400</c:v>
                </c:pt>
                <c:pt idx="71">
                  <c:v>1300</c:v>
                </c:pt>
                <c:pt idx="72">
                  <c:v>2900</c:v>
                </c:pt>
                <c:pt idx="73">
                  <c:v>4700</c:v>
                </c:pt>
                <c:pt idx="74">
                  <c:v>34800</c:v>
                </c:pt>
                <c:pt idx="75">
                  <c:v>1500</c:v>
                </c:pt>
                <c:pt idx="76">
                  <c:v>38200</c:v>
                </c:pt>
                <c:pt idx="77">
                  <c:v>32000</c:v>
                </c:pt>
                <c:pt idx="78">
                  <c:v>20000</c:v>
                </c:pt>
                <c:pt idx="79">
                  <c:v>13400</c:v>
                </c:pt>
                <c:pt idx="80">
                  <c:v>15000</c:v>
                </c:pt>
                <c:pt idx="81">
                  <c:v>5200</c:v>
                </c:pt>
                <c:pt idx="82">
                  <c:v>44600</c:v>
                </c:pt>
                <c:pt idx="83">
                  <c:v>1100</c:v>
                </c:pt>
                <c:pt idx="84">
                  <c:v>600</c:v>
                </c:pt>
                <c:pt idx="85">
                  <c:v>3900</c:v>
                </c:pt>
                <c:pt idx="86">
                  <c:v>1300</c:v>
                </c:pt>
                <c:pt idx="87">
                  <c:v>4400</c:v>
                </c:pt>
                <c:pt idx="88">
                  <c:v>43800</c:v>
                </c:pt>
                <c:pt idx="89">
                  <c:v>19800</c:v>
                </c:pt>
                <c:pt idx="90">
                  <c:v>39900</c:v>
                </c:pt>
                <c:pt idx="91">
                  <c:v>2800</c:v>
                </c:pt>
                <c:pt idx="92">
                  <c:v>3900</c:v>
                </c:pt>
                <c:pt idx="93">
                  <c:v>12800</c:v>
                </c:pt>
                <c:pt idx="94">
                  <c:v>4000</c:v>
                </c:pt>
                <c:pt idx="95">
                  <c:v>46200</c:v>
                </c:pt>
                <c:pt idx="96">
                  <c:v>35000</c:v>
                </c:pt>
                <c:pt idx="97">
                  <c:v>28200</c:v>
                </c:pt>
                <c:pt idx="98">
                  <c:v>31000</c:v>
                </c:pt>
                <c:pt idx="99">
                  <c:v>7400</c:v>
                </c:pt>
                <c:pt idx="100">
                  <c:v>34200</c:v>
                </c:pt>
                <c:pt idx="101">
                  <c:v>57000</c:v>
                </c:pt>
                <c:pt idx="102">
                  <c:v>5000</c:v>
                </c:pt>
                <c:pt idx="103">
                  <c:v>11500</c:v>
                </c:pt>
                <c:pt idx="104">
                  <c:v>1600</c:v>
                </c:pt>
                <c:pt idx="105">
                  <c:v>3200</c:v>
                </c:pt>
                <c:pt idx="106">
                  <c:v>1700</c:v>
                </c:pt>
                <c:pt idx="107">
                  <c:v>26000</c:v>
                </c:pt>
                <c:pt idx="108">
                  <c:v>2300</c:v>
                </c:pt>
                <c:pt idx="109">
                  <c:v>57400</c:v>
                </c:pt>
                <c:pt idx="110">
                  <c:v>2100</c:v>
                </c:pt>
                <c:pt idx="111">
                  <c:v>2100</c:v>
                </c:pt>
                <c:pt idx="112">
                  <c:v>17800</c:v>
                </c:pt>
                <c:pt idx="113">
                  <c:v>11100</c:v>
                </c:pt>
                <c:pt idx="114">
                  <c:v>1600</c:v>
                </c:pt>
                <c:pt idx="115">
                  <c:v>500</c:v>
                </c:pt>
                <c:pt idx="116">
                  <c:v>14400</c:v>
                </c:pt>
                <c:pt idx="117">
                  <c:v>118000</c:v>
                </c:pt>
                <c:pt idx="118">
                  <c:v>17700</c:v>
                </c:pt>
                <c:pt idx="119">
                  <c:v>81100</c:v>
                </c:pt>
                <c:pt idx="120">
                  <c:v>30000</c:v>
                </c:pt>
                <c:pt idx="121">
                  <c:v>9000</c:v>
                </c:pt>
                <c:pt idx="122">
                  <c:v>1000</c:v>
                </c:pt>
                <c:pt idx="123">
                  <c:v>800</c:v>
                </c:pt>
                <c:pt idx="124">
                  <c:v>15300</c:v>
                </c:pt>
                <c:pt idx="125">
                  <c:v>5000</c:v>
                </c:pt>
                <c:pt idx="126">
                  <c:v>1200</c:v>
                </c:pt>
                <c:pt idx="127">
                  <c:v>24200</c:v>
                </c:pt>
                <c:pt idx="128">
                  <c:v>2500</c:v>
                </c:pt>
                <c:pt idx="129">
                  <c:v>2100</c:v>
                </c:pt>
                <c:pt idx="130">
                  <c:v>12100</c:v>
                </c:pt>
                <c:pt idx="131">
                  <c:v>4900</c:v>
                </c:pt>
                <c:pt idx="132">
                  <c:v>14200</c:v>
                </c:pt>
                <c:pt idx="133">
                  <c:v>2200</c:v>
                </c:pt>
                <c:pt idx="134">
                  <c:v>2500</c:v>
                </c:pt>
                <c:pt idx="135">
                  <c:v>30000</c:v>
                </c:pt>
                <c:pt idx="136">
                  <c:v>3200</c:v>
                </c:pt>
                <c:pt idx="137">
                  <c:v>9700</c:v>
                </c:pt>
                <c:pt idx="138">
                  <c:v>3400</c:v>
                </c:pt>
                <c:pt idx="139">
                  <c:v>4000</c:v>
                </c:pt>
                <c:pt idx="140">
                  <c:v>900</c:v>
                </c:pt>
                <c:pt idx="141">
                  <c:v>5400</c:v>
                </c:pt>
                <c:pt idx="142">
                  <c:v>5000</c:v>
                </c:pt>
                <c:pt idx="143">
                  <c:v>1100</c:v>
                </c:pt>
                <c:pt idx="144">
                  <c:v>40300</c:v>
                </c:pt>
                <c:pt idx="145">
                  <c:v>16000</c:v>
                </c:pt>
                <c:pt idx="146">
                  <c:v>15000</c:v>
                </c:pt>
                <c:pt idx="147">
                  <c:v>27900</c:v>
                </c:pt>
                <c:pt idx="148">
                  <c:v>2900</c:v>
                </c:pt>
                <c:pt idx="149">
                  <c:v>700</c:v>
                </c:pt>
                <c:pt idx="150">
                  <c:v>2300</c:v>
                </c:pt>
                <c:pt idx="151">
                  <c:v>5800</c:v>
                </c:pt>
                <c:pt idx="152">
                  <c:v>12500</c:v>
                </c:pt>
                <c:pt idx="153">
                  <c:v>55200</c:v>
                </c:pt>
                <c:pt idx="154">
                  <c:v>20200</c:v>
                </c:pt>
                <c:pt idx="155">
                  <c:v>2600</c:v>
                </c:pt>
                <c:pt idx="156">
                  <c:v>8100</c:v>
                </c:pt>
                <c:pt idx="157">
                  <c:v>11600</c:v>
                </c:pt>
                <c:pt idx="158">
                  <c:v>2200</c:v>
                </c:pt>
                <c:pt idx="159">
                  <c:v>4200</c:v>
                </c:pt>
                <c:pt idx="160">
                  <c:v>8400</c:v>
                </c:pt>
                <c:pt idx="161">
                  <c:v>3300</c:v>
                </c:pt>
                <c:pt idx="162">
                  <c:v>17300</c:v>
                </c:pt>
                <c:pt idx="163">
                  <c:v>22000</c:v>
                </c:pt>
                <c:pt idx="164">
                  <c:v>17800</c:v>
                </c:pt>
                <c:pt idx="165">
                  <c:v>103500</c:v>
                </c:pt>
                <c:pt idx="166">
                  <c:v>12200</c:v>
                </c:pt>
                <c:pt idx="167">
                  <c:v>15800</c:v>
                </c:pt>
                <c:pt idx="168">
                  <c:v>900</c:v>
                </c:pt>
                <c:pt idx="169">
                  <c:v>2500</c:v>
                </c:pt>
                <c:pt idx="170">
                  <c:v>19700</c:v>
                </c:pt>
                <c:pt idx="171">
                  <c:v>11300</c:v>
                </c:pt>
                <c:pt idx="172">
                  <c:v>7000</c:v>
                </c:pt>
                <c:pt idx="173">
                  <c:v>10500</c:v>
                </c:pt>
                <c:pt idx="174">
                  <c:v>4900</c:v>
                </c:pt>
                <c:pt idx="175">
                  <c:v>41900</c:v>
                </c:pt>
                <c:pt idx="176">
                  <c:v>1300</c:v>
                </c:pt>
                <c:pt idx="177">
                  <c:v>20700</c:v>
                </c:pt>
                <c:pt idx="178">
                  <c:v>1600</c:v>
                </c:pt>
                <c:pt idx="179">
                  <c:v>10900</c:v>
                </c:pt>
                <c:pt idx="180">
                  <c:v>17000</c:v>
                </c:pt>
                <c:pt idx="181">
                  <c:v>700</c:v>
                </c:pt>
                <c:pt idx="182">
                  <c:v>52000</c:v>
                </c:pt>
                <c:pt idx="183">
                  <c:v>21900</c:v>
                </c:pt>
                <c:pt idx="184">
                  <c:v>29500</c:v>
                </c:pt>
                <c:pt idx="185">
                  <c:v>1900</c:v>
                </c:pt>
                <c:pt idx="186">
                  <c:v>600</c:v>
                </c:pt>
                <c:pt idx="187">
                  <c:v>10000</c:v>
                </c:pt>
                <c:pt idx="188">
                  <c:v>34600</c:v>
                </c:pt>
                <c:pt idx="189">
                  <c:v>4300</c:v>
                </c:pt>
                <c:pt idx="190">
                  <c:v>2200</c:v>
                </c:pt>
                <c:pt idx="191">
                  <c:v>8900</c:v>
                </c:pt>
                <c:pt idx="192">
                  <c:v>5100</c:v>
                </c:pt>
                <c:pt idx="193">
                  <c:v>38500</c:v>
                </c:pt>
                <c:pt idx="194">
                  <c:v>40900</c:v>
                </c:pt>
                <c:pt idx="195">
                  <c:v>4800</c:v>
                </c:pt>
                <c:pt idx="196">
                  <c:v>31900</c:v>
                </c:pt>
                <c:pt idx="197">
                  <c:v>2100</c:v>
                </c:pt>
                <c:pt idx="198">
                  <c:v>1300</c:v>
                </c:pt>
                <c:pt idx="199">
                  <c:v>8500</c:v>
                </c:pt>
                <c:pt idx="200">
                  <c:v>2400</c:v>
                </c:pt>
                <c:pt idx="201">
                  <c:v>900</c:v>
                </c:pt>
                <c:pt idx="202">
                  <c:v>1000</c:v>
                </c:pt>
                <c:pt idx="203">
                  <c:v>4600</c:v>
                </c:pt>
                <c:pt idx="204">
                  <c:v>18600</c:v>
                </c:pt>
                <c:pt idx="205">
                  <c:v>7900</c:v>
                </c:pt>
                <c:pt idx="206">
                  <c:v>12000</c:v>
                </c:pt>
                <c:pt idx="207">
                  <c:v>6100</c:v>
                </c:pt>
                <c:pt idx="208">
                  <c:v>11500</c:v>
                </c:pt>
                <c:pt idx="209">
                  <c:v>1600</c:v>
                </c:pt>
                <c:pt idx="210">
                  <c:v>1100</c:v>
                </c:pt>
                <c:pt idx="211">
                  <c:v>6900</c:v>
                </c:pt>
                <c:pt idx="212">
                  <c:v>40000</c:v>
                </c:pt>
                <c:pt idx="213">
                  <c:v>36600</c:v>
                </c:pt>
                <c:pt idx="214">
                  <c:v>47000</c:v>
                </c:pt>
                <c:pt idx="215">
                  <c:v>12200</c:v>
                </c:pt>
                <c:pt idx="216">
                  <c:v>2600</c:v>
                </c:pt>
                <c:pt idx="217">
                  <c:v>4600</c:v>
                </c:pt>
                <c:pt idx="218">
                  <c:v>13500</c:v>
                </c:pt>
                <c:pt idx="219">
                  <c:v>2800</c:v>
                </c:pt>
                <c:pt idx="220">
                  <c:v>14500</c:v>
                </c:pt>
                <c:pt idx="221">
                  <c:v>3800</c:v>
                </c:pt>
                <c:pt idx="222">
                  <c:v>2500</c:v>
                </c:pt>
                <c:pt idx="223">
                  <c:v>2400</c:v>
                </c:pt>
                <c:pt idx="224">
                  <c:v>1500</c:v>
                </c:pt>
                <c:pt idx="225">
                  <c:v>200</c:v>
                </c:pt>
              </c:numCache>
            </c:numRef>
          </c:xVal>
          <c:yVal>
            <c:numRef>
              <c:f>'Reg Paises'!$C$5:$C$230</c:f>
              <c:numCache>
                <c:formatCode>General</c:formatCode>
                <c:ptCount val="226"/>
                <c:pt idx="0">
                  <c:v>44.21</c:v>
                </c:pt>
                <c:pt idx="1">
                  <c:v>77.78</c:v>
                </c:pt>
                <c:pt idx="2">
                  <c:v>73.77</c:v>
                </c:pt>
                <c:pt idx="3">
                  <c:v>76.45</c:v>
                </c:pt>
                <c:pt idx="4">
                  <c:v>83.53</c:v>
                </c:pt>
                <c:pt idx="5">
                  <c:v>37.92</c:v>
                </c:pt>
                <c:pt idx="6">
                  <c:v>80.53</c:v>
                </c:pt>
                <c:pt idx="7">
                  <c:v>72.69</c:v>
                </c:pt>
                <c:pt idx="8">
                  <c:v>76.52</c:v>
                </c:pt>
                <c:pt idx="9">
                  <c:v>72.4</c:v>
                </c:pt>
                <c:pt idx="10">
                  <c:v>75.06</c:v>
                </c:pt>
                <c:pt idx="11">
                  <c:v>80.73</c:v>
                </c:pt>
                <c:pt idx="12">
                  <c:v>79.36</c:v>
                </c:pt>
                <c:pt idx="13">
                  <c:v>66.31</c:v>
                </c:pt>
                <c:pt idx="14">
                  <c:v>65.72</c:v>
                </c:pt>
                <c:pt idx="15">
                  <c:v>74.92</c:v>
                </c:pt>
                <c:pt idx="16">
                  <c:v>63.21</c:v>
                </c:pt>
                <c:pt idx="17">
                  <c:v>73.21</c:v>
                </c:pt>
                <c:pt idx="18">
                  <c:v>70.34</c:v>
                </c:pt>
                <c:pt idx="19">
                  <c:v>79.07</c:v>
                </c:pt>
                <c:pt idx="20">
                  <c:v>68.19</c:v>
                </c:pt>
                <c:pt idx="21">
                  <c:v>53.85</c:v>
                </c:pt>
                <c:pt idx="22">
                  <c:v>78.3</c:v>
                </c:pt>
                <c:pt idx="23">
                  <c:v>65.53</c:v>
                </c:pt>
                <c:pt idx="24">
                  <c:v>66.53</c:v>
                </c:pt>
                <c:pt idx="25">
                  <c:v>78.33</c:v>
                </c:pt>
                <c:pt idx="26">
                  <c:v>50.16</c:v>
                </c:pt>
                <c:pt idx="27">
                  <c:v>72.51</c:v>
                </c:pt>
                <c:pt idx="28">
                  <c:v>77.06</c:v>
                </c:pt>
                <c:pt idx="29">
                  <c:v>75.52</c:v>
                </c:pt>
                <c:pt idx="30">
                  <c:v>72.83</c:v>
                </c:pt>
                <c:pt idx="31">
                  <c:v>52.55</c:v>
                </c:pt>
                <c:pt idx="32">
                  <c:v>62.94</c:v>
                </c:pt>
                <c:pt idx="33">
                  <c:v>51.71</c:v>
                </c:pt>
                <c:pt idx="34">
                  <c:v>61.69</c:v>
                </c:pt>
                <c:pt idx="35">
                  <c:v>53.3</c:v>
                </c:pt>
                <c:pt idx="36">
                  <c:v>81.16</c:v>
                </c:pt>
                <c:pt idx="37">
                  <c:v>71.33</c:v>
                </c:pt>
                <c:pt idx="38">
                  <c:v>80.32</c:v>
                </c:pt>
                <c:pt idx="39">
                  <c:v>43.97</c:v>
                </c:pt>
                <c:pt idx="40">
                  <c:v>47.43</c:v>
                </c:pt>
                <c:pt idx="41">
                  <c:v>77.15</c:v>
                </c:pt>
                <c:pt idx="42">
                  <c:v>73.18</c:v>
                </c:pt>
                <c:pt idx="43">
                  <c:v>72.54</c:v>
                </c:pt>
                <c:pt idx="44">
                  <c:v>63.1</c:v>
                </c:pt>
                <c:pt idx="45">
                  <c:v>53.98</c:v>
                </c:pt>
                <c:pt idx="46">
                  <c:v>53.74</c:v>
                </c:pt>
                <c:pt idx="47">
                  <c:v>71.88</c:v>
                </c:pt>
                <c:pt idx="48">
                  <c:v>77.4</c:v>
                </c:pt>
                <c:pt idx="49">
                  <c:v>49.18</c:v>
                </c:pt>
                <c:pt idx="50">
                  <c:v>75.13</c:v>
                </c:pt>
                <c:pt idx="51">
                  <c:v>77.27</c:v>
                </c:pt>
                <c:pt idx="52">
                  <c:v>78.15</c:v>
                </c:pt>
                <c:pt idx="53">
                  <c:v>76.62</c:v>
                </c:pt>
                <c:pt idx="54">
                  <c:v>78.13</c:v>
                </c:pt>
                <c:pt idx="55">
                  <c:v>43.31</c:v>
                </c:pt>
                <c:pt idx="56">
                  <c:v>75.33</c:v>
                </c:pt>
                <c:pt idx="57">
                  <c:v>73.39</c:v>
                </c:pt>
                <c:pt idx="58">
                  <c:v>76.81</c:v>
                </c:pt>
                <c:pt idx="59">
                  <c:v>71.85</c:v>
                </c:pt>
                <c:pt idx="60">
                  <c:v>72.06</c:v>
                </c:pt>
                <c:pt idx="61">
                  <c:v>61.23</c:v>
                </c:pt>
                <c:pt idx="62">
                  <c:v>60.05</c:v>
                </c:pt>
                <c:pt idx="63">
                  <c:v>72.56</c:v>
                </c:pt>
                <c:pt idx="64">
                  <c:v>49.43</c:v>
                </c:pt>
                <c:pt idx="65">
                  <c:v>79.29</c:v>
                </c:pt>
                <c:pt idx="66">
                  <c:v>70.44</c:v>
                </c:pt>
                <c:pt idx="67">
                  <c:v>78.82</c:v>
                </c:pt>
                <c:pt idx="68">
                  <c:v>80.87</c:v>
                </c:pt>
                <c:pt idx="69">
                  <c:v>76.51</c:v>
                </c:pt>
                <c:pt idx="70">
                  <c:v>53.52</c:v>
                </c:pt>
                <c:pt idx="71">
                  <c:v>54.95</c:v>
                </c:pt>
                <c:pt idx="72">
                  <c:v>72.34</c:v>
                </c:pt>
                <c:pt idx="73">
                  <c:v>76.51</c:v>
                </c:pt>
                <c:pt idx="74">
                  <c:v>79.1</c:v>
                </c:pt>
                <c:pt idx="75">
                  <c:v>59.49</c:v>
                </c:pt>
                <c:pt idx="76">
                  <c:v>80.06</c:v>
                </c:pt>
                <c:pt idx="77">
                  <c:v>79.52</c:v>
                </c:pt>
                <c:pt idx="78">
                  <c:v>70.53</c:v>
                </c:pt>
                <c:pt idx="79">
                  <c:v>65.6</c:v>
                </c:pt>
                <c:pt idx="80">
                  <c:v>78.93</c:v>
                </c:pt>
                <c:pt idx="81">
                  <c:v>69.99</c:v>
                </c:pt>
                <c:pt idx="82">
                  <c:v>80.65</c:v>
                </c:pt>
                <c:pt idx="83">
                  <c:v>49.8</c:v>
                </c:pt>
                <c:pt idx="84">
                  <c:v>47.52</c:v>
                </c:pt>
                <c:pt idx="85">
                  <c:v>66.43</c:v>
                </c:pt>
                <c:pt idx="86">
                  <c:v>57.56</c:v>
                </c:pt>
                <c:pt idx="87">
                  <c:v>69.37</c:v>
                </c:pt>
                <c:pt idx="88">
                  <c:v>81.77</c:v>
                </c:pt>
                <c:pt idx="89">
                  <c:v>73.18</c:v>
                </c:pt>
                <c:pt idx="90">
                  <c:v>80.55</c:v>
                </c:pt>
                <c:pt idx="91">
                  <c:v>69.25</c:v>
                </c:pt>
                <c:pt idx="92">
                  <c:v>70.46</c:v>
                </c:pt>
                <c:pt idx="93">
                  <c:v>70.86</c:v>
                </c:pt>
                <c:pt idx="94">
                  <c:v>69.62</c:v>
                </c:pt>
                <c:pt idx="95">
                  <c:v>78.07</c:v>
                </c:pt>
                <c:pt idx="96">
                  <c:v>78.8</c:v>
                </c:pt>
                <c:pt idx="97">
                  <c:v>80.61</c:v>
                </c:pt>
                <c:pt idx="98">
                  <c:v>80.07</c:v>
                </c:pt>
                <c:pt idx="99">
                  <c:v>73.59</c:v>
                </c:pt>
                <c:pt idx="100">
                  <c:v>82.07</c:v>
                </c:pt>
                <c:pt idx="101">
                  <c:v>79.65</c:v>
                </c:pt>
                <c:pt idx="102">
                  <c:v>78.71</c:v>
                </c:pt>
                <c:pt idx="103">
                  <c:v>67.55</c:v>
                </c:pt>
                <c:pt idx="104">
                  <c:v>56.64</c:v>
                </c:pt>
                <c:pt idx="105">
                  <c:v>62.85</c:v>
                </c:pt>
                <c:pt idx="106">
                  <c:v>72.2</c:v>
                </c:pt>
                <c:pt idx="107">
                  <c:v>77.42</c:v>
                </c:pt>
                <c:pt idx="108">
                  <c:v>64.77</c:v>
                </c:pt>
                <c:pt idx="109">
                  <c:v>77.53</c:v>
                </c:pt>
                <c:pt idx="110">
                  <c:v>69.12</c:v>
                </c:pt>
                <c:pt idx="111">
                  <c:v>56.29</c:v>
                </c:pt>
                <c:pt idx="112">
                  <c:v>71.88</c:v>
                </c:pt>
                <c:pt idx="113">
                  <c:v>73.41</c:v>
                </c:pt>
                <c:pt idx="114">
                  <c:v>40.17</c:v>
                </c:pt>
                <c:pt idx="115">
                  <c:v>41.13</c:v>
                </c:pt>
                <c:pt idx="116">
                  <c:v>77.07</c:v>
                </c:pt>
                <c:pt idx="117">
                  <c:v>79.95</c:v>
                </c:pt>
                <c:pt idx="118">
                  <c:v>74.67</c:v>
                </c:pt>
                <c:pt idx="119">
                  <c:v>79.18</c:v>
                </c:pt>
                <c:pt idx="120">
                  <c:v>82.35</c:v>
                </c:pt>
                <c:pt idx="121">
                  <c:v>74.45</c:v>
                </c:pt>
                <c:pt idx="122">
                  <c:v>62.52</c:v>
                </c:pt>
                <c:pt idx="123">
                  <c:v>43.45</c:v>
                </c:pt>
                <c:pt idx="124">
                  <c:v>73.03</c:v>
                </c:pt>
                <c:pt idx="125">
                  <c:v>65.12</c:v>
                </c:pt>
                <c:pt idx="126">
                  <c:v>49.94</c:v>
                </c:pt>
                <c:pt idx="127">
                  <c:v>79.3</c:v>
                </c:pt>
                <c:pt idx="128">
                  <c:v>70.9</c:v>
                </c:pt>
                <c:pt idx="129">
                  <c:v>53.91</c:v>
                </c:pt>
                <c:pt idx="130">
                  <c:v>73.75</c:v>
                </c:pt>
                <c:pt idx="131">
                  <c:v>62.54</c:v>
                </c:pt>
                <c:pt idx="132">
                  <c:v>75.84</c:v>
                </c:pt>
                <c:pt idx="133">
                  <c:v>70.65</c:v>
                </c:pt>
                <c:pt idx="134">
                  <c:v>70.5</c:v>
                </c:pt>
                <c:pt idx="135">
                  <c:v>79.96</c:v>
                </c:pt>
                <c:pt idx="136">
                  <c:v>67.32</c:v>
                </c:pt>
                <c:pt idx="137">
                  <c:v>74.53</c:v>
                </c:pt>
                <c:pt idx="138">
                  <c:v>79.15</c:v>
                </c:pt>
                <c:pt idx="139">
                  <c:v>71.52</c:v>
                </c:pt>
                <c:pt idx="140">
                  <c:v>41.04</c:v>
                </c:pt>
                <c:pt idx="141">
                  <c:v>49.89</c:v>
                </c:pt>
                <c:pt idx="142">
                  <c:v>63.81</c:v>
                </c:pt>
                <c:pt idx="143">
                  <c:v>60.94</c:v>
                </c:pt>
                <c:pt idx="144">
                  <c:v>79.25</c:v>
                </c:pt>
                <c:pt idx="145">
                  <c:v>76.45</c:v>
                </c:pt>
                <c:pt idx="146">
                  <c:v>74.75</c:v>
                </c:pt>
                <c:pt idx="147">
                  <c:v>80.24</c:v>
                </c:pt>
                <c:pt idx="148">
                  <c:v>71.21</c:v>
                </c:pt>
                <c:pt idx="149">
                  <c:v>44.28</c:v>
                </c:pt>
                <c:pt idx="150">
                  <c:v>47.81</c:v>
                </c:pt>
                <c:pt idx="151">
                  <c:v>70.5</c:v>
                </c:pt>
                <c:pt idx="152">
                  <c:v>76.5</c:v>
                </c:pt>
                <c:pt idx="153">
                  <c:v>79.81</c:v>
                </c:pt>
                <c:pt idx="154">
                  <c:v>73.91</c:v>
                </c:pt>
                <c:pt idx="155">
                  <c:v>64.13</c:v>
                </c:pt>
                <c:pt idx="156">
                  <c:v>71</c:v>
                </c:pt>
                <c:pt idx="157">
                  <c:v>75.17</c:v>
                </c:pt>
                <c:pt idx="158">
                  <c:v>66</c:v>
                </c:pt>
                <c:pt idx="159">
                  <c:v>75.56</c:v>
                </c:pt>
                <c:pt idx="160">
                  <c:v>70.44</c:v>
                </c:pt>
                <c:pt idx="161">
                  <c:v>70.8</c:v>
                </c:pt>
                <c:pt idx="162">
                  <c:v>75.41</c:v>
                </c:pt>
                <c:pt idx="163">
                  <c:v>78.04</c:v>
                </c:pt>
                <c:pt idx="164">
                  <c:v>78.58</c:v>
                </c:pt>
                <c:pt idx="165">
                  <c:v>74.38</c:v>
                </c:pt>
                <c:pt idx="166">
                  <c:v>72.18</c:v>
                </c:pt>
                <c:pt idx="167">
                  <c:v>65.94</c:v>
                </c:pt>
                <c:pt idx="168">
                  <c:v>49.76</c:v>
                </c:pt>
                <c:pt idx="169">
                  <c:v>78.27</c:v>
                </c:pt>
                <c:pt idx="170">
                  <c:v>72.93</c:v>
                </c:pt>
                <c:pt idx="171">
                  <c:v>74.32</c:v>
                </c:pt>
                <c:pt idx="172">
                  <c:v>78.91</c:v>
                </c:pt>
                <c:pt idx="173">
                  <c:v>74.34</c:v>
                </c:pt>
                <c:pt idx="174">
                  <c:v>71.58</c:v>
                </c:pt>
                <c:pt idx="175">
                  <c:v>81.88</c:v>
                </c:pt>
                <c:pt idx="176">
                  <c:v>68</c:v>
                </c:pt>
                <c:pt idx="177">
                  <c:v>76.09</c:v>
                </c:pt>
                <c:pt idx="178">
                  <c:v>57.08</c:v>
                </c:pt>
                <c:pt idx="179">
                  <c:v>75.29</c:v>
                </c:pt>
                <c:pt idx="180">
                  <c:v>72.6</c:v>
                </c:pt>
                <c:pt idx="181">
                  <c:v>40.93</c:v>
                </c:pt>
                <c:pt idx="182">
                  <c:v>81.89</c:v>
                </c:pt>
                <c:pt idx="183">
                  <c:v>75.17</c:v>
                </c:pt>
                <c:pt idx="184">
                  <c:v>76.73</c:v>
                </c:pt>
                <c:pt idx="185">
                  <c:v>73.44</c:v>
                </c:pt>
                <c:pt idx="186">
                  <c:v>49.25</c:v>
                </c:pt>
                <c:pt idx="187">
                  <c:v>42.37</c:v>
                </c:pt>
                <c:pt idx="188">
                  <c:v>79.92</c:v>
                </c:pt>
                <c:pt idx="189">
                  <c:v>74.97</c:v>
                </c:pt>
                <c:pt idx="190">
                  <c:v>50.28</c:v>
                </c:pt>
                <c:pt idx="191">
                  <c:v>73.48</c:v>
                </c:pt>
                <c:pt idx="192">
                  <c:v>31.99</c:v>
                </c:pt>
                <c:pt idx="193">
                  <c:v>80.74</c:v>
                </c:pt>
                <c:pt idx="194">
                  <c:v>80.74</c:v>
                </c:pt>
                <c:pt idx="195">
                  <c:v>70.9</c:v>
                </c:pt>
                <c:pt idx="196">
                  <c:v>77.76</c:v>
                </c:pt>
                <c:pt idx="197">
                  <c:v>64.97</c:v>
                </c:pt>
                <c:pt idx="198">
                  <c:v>51.45</c:v>
                </c:pt>
                <c:pt idx="199">
                  <c:v>72.83</c:v>
                </c:pt>
                <c:pt idx="200">
                  <c:v>66.94</c:v>
                </c:pt>
                <c:pt idx="201">
                  <c:v>58.28</c:v>
                </c:pt>
                <c:pt idx="202">
                  <c:v>64.77</c:v>
                </c:pt>
                <c:pt idx="203">
                  <c:v>70.44</c:v>
                </c:pt>
                <c:pt idx="204">
                  <c:v>67</c:v>
                </c:pt>
                <c:pt idx="205">
                  <c:v>75.56</c:v>
                </c:pt>
                <c:pt idx="206">
                  <c:v>73.14</c:v>
                </c:pt>
                <c:pt idx="207">
                  <c:v>68.6</c:v>
                </c:pt>
                <c:pt idx="208">
                  <c:v>75.19</c:v>
                </c:pt>
                <c:pt idx="209">
                  <c:v>68.97</c:v>
                </c:pt>
                <c:pt idx="210">
                  <c:v>52.34</c:v>
                </c:pt>
                <c:pt idx="211">
                  <c:v>68.06</c:v>
                </c:pt>
                <c:pt idx="212">
                  <c:v>75.89</c:v>
                </c:pt>
                <c:pt idx="213">
                  <c:v>78.85</c:v>
                </c:pt>
                <c:pt idx="214">
                  <c:v>78.14</c:v>
                </c:pt>
                <c:pt idx="215">
                  <c:v>76.14</c:v>
                </c:pt>
                <c:pt idx="216">
                  <c:v>65.38</c:v>
                </c:pt>
                <c:pt idx="217">
                  <c:v>63.61</c:v>
                </c:pt>
                <c:pt idx="218">
                  <c:v>73.45</c:v>
                </c:pt>
                <c:pt idx="219">
                  <c:v>71.33</c:v>
                </c:pt>
                <c:pt idx="220">
                  <c:v>79.34</c:v>
                </c:pt>
                <c:pt idx="221">
                  <c:v>66.07</c:v>
                </c:pt>
                <c:pt idx="222">
                  <c:v>53.92</c:v>
                </c:pt>
                <c:pt idx="223">
                  <c:v>62.9</c:v>
                </c:pt>
                <c:pt idx="224">
                  <c:v>38.59</c:v>
                </c:pt>
                <c:pt idx="225">
                  <c:v>39.73</c:v>
                </c:pt>
              </c:numCache>
            </c:numRef>
          </c:yVal>
        </c:ser>
        <c:axId val="100"/>
        <c:axId val="200"/>
      </c:scatterChart>
      <c:val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Ingreso per cápita PPP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Esperanza vida (años)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Reg Salud</a:t>
            </a:r>
          </a:p>
        </c:rich>
      </c:tx>
      <c:overlay val="0"/>
    </c:title>
    <c:plotArea>
      <c:layout/>
      <c:scatterChart>
        <c:scatterStyle val="marker"/>
        <c:ser>
          <c:idx val="0"/>
          <c:order val="0"/>
          <c:tx>
            <c:v>Espera (min)</c:v>
          </c:tx>
          <c:spPr>
            <a:solidFill>
              <a:srgbClr val="007D83"/>
            </a:solidFill>
            <a:ln>
              <a:noFill/>
            </a:ln>
          </c:spPr>
          <c:marker>
            <c:symbol val="circle"/>
            <c:size val="5"/>
          </c:marker>
          <c:trendline>
            <c:trendlineType val="linear"/>
            <c:dispRSqr val="1"/>
            <c:dispEq val="1"/>
          </c:trendline>
          <c:xVal>
            <c:numRef>
              <c:f>'Reg Salud'!$B$5:$B$10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'Reg Salud'!$C$5:$C$10</c:f>
              <c:numCache>
                <c:formatCode>General</c:formatCode>
                <c:ptCount val="6"/>
                <c:pt idx="0">
                  <c:v>72</c:v>
                </c:pt>
                <c:pt idx="1">
                  <c:v>65</c:v>
                </c:pt>
                <c:pt idx="2">
                  <c:v>61</c:v>
                </c:pt>
                <c:pt idx="3">
                  <c:v>53</c:v>
                </c:pt>
                <c:pt idx="4">
                  <c:v>49</c:v>
                </c:pt>
                <c:pt idx="5">
                  <c:v>41</c:v>
                </c:pt>
              </c:numCache>
            </c:numRef>
          </c:yVal>
        </c:ser>
        <c:axId val="100"/>
        <c:axId val="200"/>
      </c:scatterChart>
      <c:val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Administrativos activos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Espera 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Reg Gaseosas</a:t>
            </a:r>
          </a:p>
        </c:rich>
      </c:tx>
      <c:overlay val="0"/>
    </c:title>
    <c:plotArea>
      <c:layout/>
      <c:scatterChart>
        <c:scatterStyle val="marker"/>
        <c:ser>
          <c:idx val="0"/>
          <c:order val="0"/>
          <c:tx>
            <c:v>Ventas por hora</c:v>
          </c:tx>
          <c:spPr>
            <a:solidFill>
              <a:srgbClr val="007D83"/>
            </a:solidFill>
            <a:ln>
              <a:noFill/>
            </a:ln>
          </c:spPr>
          <c:marker>
            <c:symbol val="circle"/>
            <c:size val="5"/>
          </c:marker>
          <c:trendline>
            <c:trendlineType val="linear"/>
            <c:dispRSqr val="1"/>
            <c:dispEq val="1"/>
          </c:trendline>
          <c:xVal>
            <c:numRef>
              <c:f>'Reg Gaseosas'!$B$5:$B$24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'Reg Gaseosas'!$C$5:$C$24</c:f>
              <c:numCache>
                <c:formatCode>General</c:formatCode>
                <c:ptCount val="2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9</c:v>
                </c:pt>
                <c:pt idx="5">
                  <c:v>12</c:v>
                </c:pt>
                <c:pt idx="6">
                  <c:v>11</c:v>
                </c:pt>
                <c:pt idx="7">
                  <c:v>13</c:v>
                </c:pt>
                <c:pt idx="8">
                  <c:v>17</c:v>
                </c:pt>
                <c:pt idx="9">
                  <c:v>15</c:v>
                </c:pt>
                <c:pt idx="10">
                  <c:v>23</c:v>
                </c:pt>
                <c:pt idx="11">
                  <c:v>19</c:v>
                </c:pt>
                <c:pt idx="12">
                  <c:v>20</c:v>
                </c:pt>
                <c:pt idx="13">
                  <c:v>29</c:v>
                </c:pt>
                <c:pt idx="14">
                  <c:v>32</c:v>
                </c:pt>
                <c:pt idx="15">
                  <c:v>36</c:v>
                </c:pt>
                <c:pt idx="16">
                  <c:v>29</c:v>
                </c:pt>
                <c:pt idx="17">
                  <c:v>37</c:v>
                </c:pt>
                <c:pt idx="18">
                  <c:v>37</c:v>
                </c:pt>
                <c:pt idx="19">
                  <c:v>32</c:v>
                </c:pt>
              </c:numCache>
            </c:numRef>
          </c:yVal>
        </c:ser>
        <c:axId val="100"/>
        <c:axId val="200"/>
      </c:scatterChart>
      <c:val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Temperatura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Ventas por hora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Reg Cigarrillos</a:t>
            </a:r>
          </a:p>
        </c:rich>
      </c:tx>
      <c:overlay val="0"/>
    </c:title>
    <c:plotArea>
      <c:layout/>
      <c:scatterChart>
        <c:scatterStyle val="marker"/>
        <c:ser>
          <c:idx val="0"/>
          <c:order val="0"/>
          <c:tx>
            <c:v>Ventas por hora</c:v>
          </c:tx>
          <c:spPr>
            <a:solidFill>
              <a:srgbClr val="007D83"/>
            </a:solidFill>
            <a:ln>
              <a:noFill/>
            </a:ln>
          </c:spPr>
          <c:marker>
            <c:symbol val="circle"/>
            <c:size val="5"/>
          </c:marker>
          <c:trendline>
            <c:trendlineType val="linear"/>
            <c:dispRSqr val="1"/>
            <c:dispEq val="1"/>
          </c:trendline>
          <c:xVal>
            <c:numRef>
              <c:f>'Reg Cigarrillos'!$B$5:$B$24</c:f>
              <c:numCache>
                <c:formatCode>General</c:formatCod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numCache>
            </c:numRef>
          </c:xVal>
          <c:yVal>
            <c:numRef>
              <c:f>'Reg Cigarrillos'!$C$5:$C$24</c:f>
              <c:numCache>
                <c:formatCode>General</c:formatCode>
                <c:ptCount val="20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</c:numCache>
            </c:numRef>
          </c:yVal>
        </c:ser>
        <c:axId val="100"/>
        <c:axId val="200"/>
      </c:scatterChart>
      <c:val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Temperatura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crossBetween val="between"/>
      </c:val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Ventas por hora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Chi Muestra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Empeoramiento</c:v>
          </c:tx>
          <c:spPr>
            <a:solidFill>
              <a:srgbClr val="007D83"/>
            </a:solidFill>
          </c:spPr>
          <c:cat>
            <c:strRef>
              <c:f>'Chi Muestra'!$A$32:$A$33</c:f>
              <c:strCache>
                <c:ptCount val="2"/>
                <c:pt idx="0">
                  <c:v>Placebo</c:v>
                </c:pt>
                <c:pt idx="1">
                  <c:v>Tratamiento</c:v>
                </c:pt>
              </c:strCache>
            </c:strRef>
          </c:cat>
          <c:val>
            <c:numRef>
              <c:f>'Chi Muestra'!$B$32:$B$33</c:f>
              <c:numCache>
                <c:formatCode>General</c:formatCode>
                <c:ptCount val="2"/>
                <c:pt idx="0">
                  <c:v>0.07407407407407407</c:v>
                </c:pt>
                <c:pt idx="1">
                  <c:v>0.2318181818181818</c:v>
                </c:pt>
              </c:numCache>
            </c:numRef>
          </c:val>
        </c:ser>
        <c:ser>
          <c:idx val="1"/>
          <c:order val="1"/>
          <c:tx>
            <c:v>Mejoría</c:v>
          </c:tx>
          <c:spPr>
            <a:solidFill>
              <a:srgbClr val="C46A15"/>
            </a:solidFill>
          </c:spPr>
          <c:cat>
            <c:strRef>
              <c:f>'Chi Muestra'!$A$32:$A$33</c:f>
              <c:strCache>
                <c:ptCount val="2"/>
                <c:pt idx="0">
                  <c:v>Placebo</c:v>
                </c:pt>
                <c:pt idx="1">
                  <c:v>Tratamiento</c:v>
                </c:pt>
              </c:strCache>
            </c:strRef>
          </c:cat>
          <c:val>
            <c:numRef>
              <c:f>'Chi Muestra'!$C$32:$C$33</c:f>
              <c:numCache>
                <c:formatCode>General</c:formatCode>
                <c:ptCount val="2"/>
                <c:pt idx="0">
                  <c:v>0.3333333333333333</c:v>
                </c:pt>
                <c:pt idx="1">
                  <c:v>0.4</c:v>
                </c:pt>
              </c:numCache>
            </c:numRef>
          </c:val>
        </c:ser>
        <c:ser>
          <c:idx val="2"/>
          <c:order val="2"/>
          <c:tx>
            <c:v>Sin cambio</c:v>
          </c:tx>
          <c:spPr>
            <a:solidFill>
              <a:srgbClr val="A6BDC6"/>
            </a:solidFill>
          </c:spPr>
          <c:cat>
            <c:strRef>
              <c:f>'Chi Muestra'!$A$32:$A$33</c:f>
              <c:strCache>
                <c:ptCount val="2"/>
                <c:pt idx="0">
                  <c:v>Placebo</c:v>
                </c:pt>
                <c:pt idx="1">
                  <c:v>Tratamiento</c:v>
                </c:pt>
              </c:strCache>
            </c:strRef>
          </c:cat>
          <c:val>
            <c:numRef>
              <c:f>'Chi Muestra'!$D$32:$D$33</c:f>
              <c:numCache>
                <c:formatCode>General</c:formatCode>
                <c:ptCount val="2"/>
                <c:pt idx="0">
                  <c:v>0.5925925925925926</c:v>
                </c:pt>
                <c:pt idx="1">
                  <c:v>0.36818181818181817</c:v>
                </c:pt>
              </c:numCache>
            </c:numRef>
          </c:val>
        </c:ser>
        <c:gapWidth val="100"/>
        <c:axId val="100"/>
        <c:axId val="200"/>
      </c:barChart>
      <c:cat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Grupo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Proporción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Chi guardada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Empeoramiento</c:v>
          </c:tx>
          <c:spPr>
            <a:solidFill>
              <a:srgbClr val="007D83"/>
            </a:solidFill>
          </c:spPr>
          <c:cat>
            <c:strRef>
              <c:f>'Chi guardada'!$A$32:$A$33</c:f>
              <c:strCache>
                <c:ptCount val="2"/>
                <c:pt idx="0">
                  <c:v>Placebo</c:v>
                </c:pt>
                <c:pt idx="1">
                  <c:v>Tratamiento</c:v>
                </c:pt>
              </c:strCache>
            </c:strRef>
          </c:cat>
          <c:val>
            <c:numRef>
              <c:f>'Chi guardada'!$B$32:$B$33</c:f>
              <c:numCache>
                <c:formatCode>General</c:formatCode>
                <c:ptCount val="2"/>
                <c:pt idx="0">
                  <c:v>0.2222222222222222</c:v>
                </c:pt>
                <c:pt idx="1">
                  <c:v>0.2318181818181818</c:v>
                </c:pt>
              </c:numCache>
            </c:numRef>
          </c:val>
        </c:ser>
        <c:ser>
          <c:idx val="1"/>
          <c:order val="1"/>
          <c:tx>
            <c:v>Mejoría</c:v>
          </c:tx>
          <c:spPr>
            <a:solidFill>
              <a:srgbClr val="C46A15"/>
            </a:solidFill>
          </c:spPr>
          <c:cat>
            <c:strRef>
              <c:f>'Chi guardada'!$A$32:$A$33</c:f>
              <c:strCache>
                <c:ptCount val="2"/>
                <c:pt idx="0">
                  <c:v>Placebo</c:v>
                </c:pt>
                <c:pt idx="1">
                  <c:v>Tratamiento</c:v>
                </c:pt>
              </c:strCache>
            </c:strRef>
          </c:cat>
          <c:val>
            <c:numRef>
              <c:f>'Chi guardada'!$C$32:$C$33</c:f>
              <c:numCache>
                <c:formatCode>General</c:formatCode>
                <c:ptCount val="2"/>
                <c:pt idx="0">
                  <c:v>0.48148148148148145</c:v>
                </c:pt>
                <c:pt idx="1">
                  <c:v>0.4</c:v>
                </c:pt>
              </c:numCache>
            </c:numRef>
          </c:val>
        </c:ser>
        <c:ser>
          <c:idx val="2"/>
          <c:order val="2"/>
          <c:tx>
            <c:v>Sin cambio</c:v>
          </c:tx>
          <c:spPr>
            <a:solidFill>
              <a:srgbClr val="A6BDC6"/>
            </a:solidFill>
          </c:spPr>
          <c:cat>
            <c:strRef>
              <c:f>'Chi guardada'!$A$32:$A$33</c:f>
              <c:strCache>
                <c:ptCount val="2"/>
                <c:pt idx="0">
                  <c:v>Placebo</c:v>
                </c:pt>
                <c:pt idx="1">
                  <c:v>Tratamiento</c:v>
                </c:pt>
              </c:strCache>
            </c:strRef>
          </c:cat>
          <c:val>
            <c:numRef>
              <c:f>'Chi guardada'!$D$32:$D$33</c:f>
              <c:numCache>
                <c:formatCode>General</c:formatCode>
                <c:ptCount val="2"/>
                <c:pt idx="0">
                  <c:v>0.2962962962962963</c:v>
                </c:pt>
                <c:pt idx="1">
                  <c:v>0.36818181818181817</c:v>
                </c:pt>
              </c:numCache>
            </c:numRef>
          </c:val>
        </c:ser>
        <c:gapWidth val="100"/>
        <c:axId val="100"/>
        <c:axId val="200"/>
      </c:barChart>
      <c:cat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Grupo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Proporción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Chi ABC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Empeoramiento</c:v>
          </c:tx>
          <c:spPr>
            <a:solidFill>
              <a:srgbClr val="007D83"/>
            </a:solidFill>
          </c:spPr>
          <c:cat>
            <c:strRef>
              <c:f>'Chi ABC'!$A$32:$A$34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'Chi ABC'!$B$32:$B$34</c:f>
              <c:numCache>
                <c:formatCode>General</c:formatCode>
                <c:ptCount val="3"/>
                <c:pt idx="0">
                  <c:v>0.12162162162162163</c:v>
                </c:pt>
                <c:pt idx="1">
                  <c:v>0.28378378378378377</c:v>
                </c:pt>
                <c:pt idx="2">
                  <c:v>0.2916666666666667</c:v>
                </c:pt>
              </c:numCache>
            </c:numRef>
          </c:val>
        </c:ser>
        <c:ser>
          <c:idx val="1"/>
          <c:order val="1"/>
          <c:tx>
            <c:v>Mejoría</c:v>
          </c:tx>
          <c:spPr>
            <a:solidFill>
              <a:srgbClr val="C46A15"/>
            </a:solidFill>
          </c:spPr>
          <c:cat>
            <c:strRef>
              <c:f>'Chi ABC'!$A$32:$A$34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'Chi ABC'!$C$32:$C$34</c:f>
              <c:numCache>
                <c:formatCode>General</c:formatCode>
                <c:ptCount val="3"/>
                <c:pt idx="0">
                  <c:v>0.4864864864864865</c:v>
                </c:pt>
                <c:pt idx="1">
                  <c:v>0.3108108108108108</c:v>
                </c:pt>
                <c:pt idx="2">
                  <c:v>0.4027777777777778</c:v>
                </c:pt>
              </c:numCache>
            </c:numRef>
          </c:val>
        </c:ser>
        <c:ser>
          <c:idx val="2"/>
          <c:order val="2"/>
          <c:tx>
            <c:v>Sin cambio</c:v>
          </c:tx>
          <c:spPr>
            <a:solidFill>
              <a:srgbClr val="A6BDC6"/>
            </a:solidFill>
          </c:spPr>
          <c:cat>
            <c:strRef>
              <c:f>'Chi ABC'!$A$32:$A$34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'Chi ABC'!$D$32:$D$34</c:f>
              <c:numCache>
                <c:formatCode>General</c:formatCode>
                <c:ptCount val="3"/>
                <c:pt idx="0">
                  <c:v>0.3918918918918919</c:v>
                </c:pt>
                <c:pt idx="1">
                  <c:v>0.40540540540540543</c:v>
                </c:pt>
                <c:pt idx="2">
                  <c:v>0.3055555555555556</c:v>
                </c:pt>
              </c:numCache>
            </c:numRef>
          </c:val>
        </c:ser>
        <c:gapWidth val="100"/>
        <c:axId val="100"/>
        <c:axId val="200"/>
      </c:barChart>
      <c:cat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Grupo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Proporción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Valores por nivel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Valor total ($)</c:v>
          </c:tx>
          <c:spPr>
            <a:solidFill>
              <a:srgbClr val="007D83"/>
            </a:solidFill>
          </c:spPr>
          <c:cat>
            <c:strRef>
              <c:f>'Arancel practica'!$A$24:$A$26</c:f>
              <c:strCache>
                <c:ptCount val="3"/>
                <c:pt idx="0">
                  <c:v>Nivel 1</c:v>
                </c:pt>
                <c:pt idx="1">
                  <c:v>Nivel 2</c:v>
                </c:pt>
                <c:pt idx="2">
                  <c:v>Nivel 3</c:v>
                </c:pt>
              </c:strCache>
            </c:strRef>
          </c:cat>
          <c:val>
            <c:numRef>
              <c:f>'Arancel practica'!$B$24:$B$26</c:f>
              <c:numCache>
                <c:formatCode>General</c:formatCode>
                <c:ptCount val="3"/>
                <c:pt idx="0">
                  <c:v>11000</c:v>
                </c:pt>
                <c:pt idx="1">
                  <c:v>11780</c:v>
                </c:pt>
                <c:pt idx="2">
                  <c:v>13780</c:v>
                </c:pt>
              </c:numCache>
            </c:numRef>
          </c:val>
        </c:ser>
        <c:gapWidth val="100"/>
        <c:axId val="100"/>
        <c:axId val="200"/>
      </c:barChart>
      <c:cat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Nivel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Valor total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Esperanza de vida promedio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Años</c:v>
          </c:tx>
          <c:spPr>
            <a:solidFill>
              <a:srgbClr val="007D83"/>
            </a:solidFill>
          </c:spPr>
          <c:cat>
            <c:strRef>
              <c:f>'Continentes'!$A$5:$A$10</c:f>
              <c:strCache>
                <c:ptCount val="6"/>
                <c:pt idx="0">
                  <c:v>Asia</c:v>
                </c:pt>
                <c:pt idx="1">
                  <c:v>Europa</c:v>
                </c:pt>
                <c:pt idx="2">
                  <c:v>Africa</c:v>
                </c:pt>
                <c:pt idx="3">
                  <c:v>Oceanía</c:v>
                </c:pt>
                <c:pt idx="4">
                  <c:v>Norte América</c:v>
                </c:pt>
                <c:pt idx="5">
                  <c:v>Sur América</c:v>
                </c:pt>
              </c:strCache>
            </c:strRef>
          </c:cat>
          <c:val>
            <c:numRef>
              <c:f>'Continentes'!$C$5:$C$10</c:f>
              <c:numCache>
                <c:formatCode>General</c:formatCode>
                <c:ptCount val="6"/>
                <c:pt idx="0">
                  <c:v>70.96764705882353</c:v>
                </c:pt>
                <c:pt idx="1">
                  <c:v>76.92877551020406</c:v>
                </c:pt>
                <c:pt idx="2">
                  <c:v>54.16428571428572</c:v>
                </c:pt>
                <c:pt idx="3">
                  <c:v>71.3486956521739</c:v>
                </c:pt>
                <c:pt idx="4">
                  <c:v>74.02571428571429</c:v>
                </c:pt>
                <c:pt idx="5">
                  <c:v>73.13000000000001</c:v>
                </c:pt>
              </c:numCache>
            </c:numRef>
          </c:val>
        </c:ser>
        <c:gapWidth val="100"/>
        <c:axId val="100"/>
        <c:axId val="200"/>
      </c:barChart>
      <c:cat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Continente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Años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Costo total por servicio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Costo ($)</c:v>
          </c:tx>
          <c:spPr>
            <a:solidFill>
              <a:srgbClr val="007D83"/>
            </a:solidFill>
          </c:spPr>
          <c:cat>
            <c:strRef>
              <c:f>'Salud resumen'!$A$14:$A$15</c:f>
              <c:strCache>
                <c:ptCount val="2"/>
                <c:pt idx="0">
                  <c:v>Medicina</c:v>
                </c:pt>
                <c:pt idx="1">
                  <c:v>Cirugía</c:v>
                </c:pt>
              </c:strCache>
            </c:strRef>
          </c:cat>
          <c:val>
            <c:numRef>
              <c:f>'Salud resumen'!$D$14:$D$15</c:f>
              <c:numCache>
                <c:formatCode>General</c:formatCode>
                <c:ptCount val="2"/>
                <c:pt idx="0">
                  <c:v>480000</c:v>
                </c:pt>
                <c:pt idx="1">
                  <c:v>1200000</c:v>
                </c:pt>
              </c:numCache>
            </c:numRef>
          </c:val>
        </c:ser>
        <c:gapWidth val="100"/>
        <c:axId val="100"/>
        <c:axId val="200"/>
      </c:barChart>
      <c:cat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Servicio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Costo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CL"/>
  <c:chart>
    <c:title>
      <c:tx>
        <c:rich>
          <a:bodyPr/>
          <a:lstStyle/>
          <a:p>
            <a:r>
              <a:rPr lang="es-CL"/>
              <a:t>Funcionarios activos por hora</a:t>
            </a:r>
          </a:p>
        </c:rich>
      </c:tx>
      <c:overlay val="0"/>
    </c:title>
    <c:plotArea>
      <c:layout/>
      <c:barChart>
        <c:barDir val="col"/>
        <c:grouping val="clustered"/>
        <c:ser>
          <c:idx val="0"/>
          <c:order val="0"/>
          <c:tx>
            <c:v>Activos mínimos</c:v>
          </c:tx>
          <c:spPr>
            <a:solidFill>
              <a:srgbClr val="007D83"/>
            </a:solidFill>
          </c:spPr>
          <c:cat>
            <c:strRef>
              <c:f>'Erlang horas'!$A$7:$A$15</c:f>
              <c:strCache>
                <c:ptCount val="9"/>
                <c:pt idx="0">
                  <c:v>08:00</c:v>
                </c:pt>
                <c:pt idx="1">
                  <c:v>09:00</c:v>
                </c:pt>
                <c:pt idx="2">
                  <c:v>10:00</c:v>
                </c:pt>
                <c:pt idx="3">
                  <c:v>11:00</c:v>
                </c:pt>
                <c:pt idx="4">
                  <c:v>12:00</c:v>
                </c:pt>
                <c:pt idx="5">
                  <c:v>13:00</c:v>
                </c:pt>
                <c:pt idx="6">
                  <c:v>14:00</c:v>
                </c:pt>
                <c:pt idx="7">
                  <c:v>15:00</c:v>
                </c:pt>
                <c:pt idx="8">
                  <c:v>16:00</c:v>
                </c:pt>
              </c:strCache>
            </c:strRef>
          </c:cat>
          <c:val>
            <c:numRef>
              <c:f>'Erlang horas'!$D$7:$D$15</c:f>
              <c:numCache>
                <c:formatCode>General</c:formatCode>
                <c:ptCount val="9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</c:ser>
        <c:gapWidth val="100"/>
        <c:axId val="100"/>
        <c:axId val="200"/>
      </c:barChart>
      <c:catAx>
        <c:axId val="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s-CL"/>
                  <a:t>Hora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0"/>
        <c:crosses val="autoZero"/>
        <c:auto val="1"/>
        <c:lblAlgn val="ctr"/>
        <c:lblOffset val="100"/>
      </c:catAx>
      <c:valAx>
        <c:axId val="2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CL"/>
                  <a:t>Personas activas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2.xml.rels>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6.xml.rels><Relationships xmlns="http://schemas.openxmlformats.org/package/2006/relationships"><Relationship Id="rId1" Type="http://schemas.openxmlformats.org/officeDocument/2006/relationships/chart" Target="../charts/chart12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16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15</xdr:col>
      <xdr:colOff>0</xdr:colOff>
      <xdr:row>34</xdr:row>
      <xdr:rowOff>0</xdr:rowOff>
    </xdr:to>
    <xdr:graphicFrame macro="">
      <xdr:nvGraphicFramePr>
        <xdr:cNvPr id="12" name="Gráfico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18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13" name="Gráfico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140" customWidth="1"/>
  </cols>
  <sheetData>
    <row r="1">
      <c r="A1" s="1" t="inlineStr">
        <is>
          <t xml:space="preserve">Herramientas cuantitativas · MAGS 2026</t>
        </is>
      </c>
    </row>
    <row r="2">
      <c r="A2" s="0" t="inlineStr">
        <is>
          <t xml:space="preserve">Libro de práctica editable. Sin macros. Fecha: 2 de octubre de 2026.</t>
        </is>
      </c>
    </row>
    <row r="4">
      <c r="A4" s="0" t="inlineStr">
        <is>
          <t xml:space="preserve">1. Celdas azules: datos de entrada. Celdas verdes: fórmulas. Pulsa F9 para recalcular si corresponde.</t>
        </is>
      </c>
    </row>
    <row r="5">
      <c r="A5" s="0" t="inlineStr">
        <is>
          <t xml:space="preserve">2. Los gráficos son objetos nativos de Excel: puedes editar tipo, ejes, leyenda y series.</t>
        </is>
      </c>
    </row>
    <row r="6">
      <c r="A6" s="0" t="inlineStr">
        <is>
          <t xml:space="preserve">3. No insertes datos fuera del rango del gráfico sin ampliar manualmente sus referencias.</t>
        </is>
      </c>
    </row>
    <row r="7">
      <c r="A7" s="0" t="inlineStr">
        <is>
          <t xml:space="preserve">4. Chi Muestra usa los 247 registros individuales: placebo 2/9/16; p≈0,04631.</t>
        </is>
      </c>
    </row>
    <row r="8">
      <c r="A8" s="0" t="inlineStr">
        <is>
          <t xml:space="preserve">5. Chi guardada reproduce Análisis (3): placebo 6/13/8; p≈0,68903. No coincide con la base.</t>
        </is>
      </c>
    </row>
    <row r="9">
      <c r="A9" s="0" t="inlineStr">
        <is>
          <t xml:space="preserve">6. Chi ABC coincide con Muestra y Análisis (4); p≈0,04275.</t>
        </is>
      </c>
    </row>
    <row r="10">
      <c r="A10" s="0" t="inlineStr">
        <is>
          <t xml:space="preserve">7. Pearson es r. R² es el coeficiente de determinación; R²=r² en regresión simple con intercepto.</t>
        </is>
      </c>
    </row>
    <row r="11">
      <c r="A11" s="0" t="inlineStr">
        <is>
          <t xml:space="preserve">8. Erlang usa el caso 5 min de atención / 10 min de espera / 80%, sin macros.</t>
        </is>
      </c>
    </row>
    <row r="12">
      <c r="A12" s="0" t="inlineStr">
        <is>
          <t xml:space="preserve">9. Erlang permite comparar 1 a 40 personas por bloque. Si no hay solución dentro de ese límite muestra límite.</t>
        </is>
      </c>
    </row>
    <row r="13">
      <c r="A13" s="0" t="inlineStr">
        <is>
          <t xml:space="preserve">10. No uses los aranceles de clase como valores vigentes. Conserva los códigos como texto.</t>
        </is>
      </c>
    </row>
    <row r="14">
      <c r="A14" s="0" t="inlineStr">
        <is>
          <t xml:space="preserve">11. Los ejemplos de salud nuevos son simulados. Las variables no justifican inferencias causales.</t>
        </is>
      </c>
    </row>
    <row r="15">
      <c r="A15" s="0" t="inlineStr">
        <is>
          <t xml:space="preserve">12. Las hojas Continentes y Salud resumen enseñan resúmenes equivalentes a tablas dinámicas; no son tablas dinámicas nativas.</t>
        </is>
      </c>
    </row>
    <row r="16">
      <c r="A16" s="0" t="inlineStr">
        <is>
          <t xml:space="preserve">13. Para practicar tablas dinámicas: selecciona una base, Insertar &gt; Tabla dinámica y elige Filas/Valores.</t>
        </is>
      </c>
    </row>
    <row r="17">
      <c r="A17" s="0" t="inlineStr">
        <is>
          <t xml:space="preserve">14. Encontrarás explicaciones, ejercicios y respuestas en Guia-interactiva.html y Guia-de-estudio.pdf.</t>
        </is>
      </c>
    </row>
    <row r="18">
      <c r="A18" s="0" t="inlineStr">
        <is>
          <t xml:space="preserve">15. Los valores en caché fueron calculados para facilitar la primera visualización; Excel recalcula las fórmulas.</t>
        </is>
      </c>
    </row>
  </sheetData>
  <pageMargins left="0.4" right="0.4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24" customWidth="1"/>
    <col min="2" max="2" width="20" customWidth="1"/>
    <col min="3" max="3" width="24" customWidth="1"/>
    <col min="4" max="4" width="20" customWidth="1"/>
    <col min="5" max="5" width="18" customWidth="1"/>
    <col min="7" max="7" width="22" customWidth="1"/>
    <col min="8" max="8" width="20" customWidth="1"/>
  </cols>
  <sheetData>
    <row r="1">
      <c r="A1" s="1" t="inlineStr">
        <is>
          <t xml:space="preserve">Reg Intro</t>
        </is>
      </c>
    </row>
    <row r="2">
      <c r="A2" s="0" t="inlineStr">
        <is>
          <t xml:space="preserve">Edita X e Y en azul. Gráfico XY nativo con tendencia lineal. Fórmulas se recalculan al abrir.</t>
        </is>
      </c>
    </row>
    <row r="4">
      <c r="A4" s="1" t="inlineStr">
        <is>
          <t xml:space="preserve">Registro</t>
        </is>
      </c>
      <c r="B4" s="1" t="inlineStr">
        <is>
          <t xml:space="preserve">X</t>
        </is>
      </c>
      <c r="C4" s="1" t="inlineStr">
        <is>
          <t xml:space="preserve">Y</t>
        </is>
      </c>
      <c r="D4" s="1" t="inlineStr">
        <is>
          <t xml:space="preserve">Y estimada</t>
        </is>
      </c>
      <c r="E4" s="1" t="inlineStr">
        <is>
          <t xml:space="preserve">Residuo</t>
        </is>
      </c>
      <c r="F4" s="1" t="inlineStr">
        <is>
          <t xml:space="preserve"/>
        </is>
      </c>
      <c r="G4" s="1" t="inlineStr">
        <is>
          <t xml:space="preserve">Indicador</t>
        </is>
      </c>
      <c r="H4" s="1" t="inlineStr">
        <is>
          <t xml:space="preserve">Valor</t>
        </is>
      </c>
    </row>
    <row r="5">
      <c r="A5" s="0" t="inlineStr">
        <is>
          <t xml:space="preserve">Punto 1</t>
        </is>
      </c>
      <c r="B5" s="2">
        <v>2</v>
      </c>
      <c r="C5" s="2">
        <v>15</v>
      </c>
      <c r="D5" s="3">
        <f>$H$6*B5+$H$7</f>
        <v>13.52808988764045</v>
      </c>
      <c r="E5" s="3">
        <f>C5-D5</f>
        <v>1.4719101123595504</v>
      </c>
      <c r="G5" s="0" t="inlineStr">
        <is>
          <t xml:space="preserve">r</t>
        </is>
      </c>
      <c r="H5" s="3">
        <f>CORREL(B5:B8,C5:C8)</f>
        <v>-0.9508919777927207</v>
      </c>
    </row>
    <row r="6">
      <c r="A6" s="0" t="inlineStr">
        <is>
          <t xml:space="preserve">Punto 2</t>
        </is>
      </c>
      <c r="B6" s="2">
        <v>5</v>
      </c>
      <c r="C6" s="2">
        <v>10</v>
      </c>
      <c r="D6" s="3">
        <f>$H$6*B6+$H$7</f>
        <v>11.45505617977528</v>
      </c>
      <c r="E6" s="3">
        <f>C6-D6</f>
        <v>-1.45505617977528</v>
      </c>
      <c r="G6" s="0" t="inlineStr">
        <is>
          <t xml:space="preserve">Pendiente m</t>
        </is>
      </c>
      <c r="H6" s="3">
        <f>SLOPE(C5:C8,B5:B8)</f>
        <v>-0.6910112359550562</v>
      </c>
    </row>
    <row r="7">
      <c r="A7" s="0" t="inlineStr">
        <is>
          <t xml:space="preserve">Punto 3</t>
        </is>
      </c>
      <c r="B7" s="2">
        <v>15</v>
      </c>
      <c r="C7" s="2">
        <v>3</v>
      </c>
      <c r="D7" s="3">
        <f>$H$6*B7+$H$7</f>
        <v>4.544943820224718</v>
      </c>
      <c r="E7" s="3">
        <f>C7-D7</f>
        <v>-1.5449438202247183</v>
      </c>
      <c r="G7" s="0" t="inlineStr">
        <is>
          <t xml:space="preserve">Intercepto b</t>
        </is>
      </c>
      <c r="H7" s="3">
        <f>INTERCEPT(C5:C8,B5:B8)</f>
        <v>14.910112359550562</v>
      </c>
    </row>
    <row r="8">
      <c r="A8" s="0" t="inlineStr">
        <is>
          <t xml:space="preserve">Punto 4</t>
        </is>
      </c>
      <c r="B8" s="2">
        <v>18</v>
      </c>
      <c r="C8" s="2">
        <v>4</v>
      </c>
      <c r="D8" s="3">
        <f>$H$6*B8+$H$7</f>
        <v>2.4719101123595504</v>
      </c>
      <c r="E8" s="3">
        <f>C8-D8</f>
        <v>1.5280898876404496</v>
      </c>
      <c r="G8" s="0" t="inlineStr">
        <is>
          <t xml:space="preserve">R²</t>
        </is>
      </c>
      <c r="H8" s="3">
        <f>RSQ(C5:C8,B5:B8)</f>
        <v>0.904195553430552</v>
      </c>
    </row>
    <row r="9">
      <c r="G9" s="0" t="inlineStr">
        <is>
          <t xml:space="preserve">X para predecir</t>
        </is>
      </c>
      <c r="H9" s="2">
        <v>2</v>
      </c>
    </row>
    <row r="10">
      <c r="G10" s="0" t="inlineStr">
        <is>
          <t xml:space="preserve">Y predicha</t>
        </is>
      </c>
      <c r="H10" s="3">
        <f>H6*H9+H7</f>
        <v>13.52808988764045</v>
      </c>
    </row>
  </sheetData>
  <pageMargins left="0.4" right="0.4" top="0.5" bottom="0.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24" customWidth="1"/>
    <col min="2" max="2" width="20" customWidth="1"/>
    <col min="3" max="3" width="24" customWidth="1"/>
    <col min="4" max="4" width="20" customWidth="1"/>
    <col min="5" max="5" width="18" customWidth="1"/>
    <col min="7" max="7" width="22" customWidth="1"/>
    <col min="8" max="8" width="20" customWidth="1"/>
  </cols>
  <sheetData>
    <row r="1">
      <c r="A1" s="1" t="inlineStr">
        <is>
          <t xml:space="preserve">Reg Paises</t>
        </is>
      </c>
    </row>
    <row r="2">
      <c r="A2" s="0" t="inlineStr">
        <is>
          <t xml:space="preserve">Edita X e Y en azul. Gráfico XY nativo con tendencia lineal. Fórmulas se recalculan al abrir.</t>
        </is>
      </c>
    </row>
    <row r="4">
      <c r="A4" s="1" t="inlineStr">
        <is>
          <t xml:space="preserve">Registro</t>
        </is>
      </c>
      <c r="B4" s="1" t="inlineStr">
        <is>
          <t xml:space="preserve">Ingreso per cápita PPP</t>
        </is>
      </c>
      <c r="C4" s="1" t="inlineStr">
        <is>
          <t xml:space="preserve">Esperanza vida (años)</t>
        </is>
      </c>
      <c r="D4" s="1" t="inlineStr">
        <is>
          <t xml:space="preserve">Y estimada</t>
        </is>
      </c>
      <c r="E4" s="1" t="inlineStr">
        <is>
          <t xml:space="preserve">Residuo</t>
        </is>
      </c>
      <c r="F4" s="1" t="inlineStr">
        <is>
          <t xml:space="preserve"/>
        </is>
      </c>
      <c r="G4" s="1" t="inlineStr">
        <is>
          <t xml:space="preserve">Indicador</t>
        </is>
      </c>
      <c r="H4" s="1" t="inlineStr">
        <is>
          <t xml:space="preserve">Valor</t>
        </is>
      </c>
    </row>
    <row r="5">
      <c r="A5" s="0" t="inlineStr">
        <is>
          <t xml:space="preserve">Afghanistan</t>
        </is>
      </c>
      <c r="B5" s="2">
        <v>800</v>
      </c>
      <c r="C5" s="2">
        <v>44.21</v>
      </c>
      <c r="D5" s="3">
        <f>$H$6*B5+$H$7</f>
        <v>63.85024557261691</v>
      </c>
      <c r="E5" s="3">
        <f>C5-D5</f>
        <v>-19.640245572616912</v>
      </c>
      <c r="G5" s="0" t="inlineStr">
        <is>
          <t xml:space="preserve">r</t>
        </is>
      </c>
      <c r="H5" s="3">
        <f>CORREL(B5:B230,C5:C230)</f>
        <v>0.537217895667098</v>
      </c>
    </row>
    <row r="6">
      <c r="A6" s="0" t="inlineStr">
        <is>
          <t xml:space="preserve">Albania</t>
        </is>
      </c>
      <c r="B6" s="2">
        <v>6000</v>
      </c>
      <c r="C6" s="2">
        <v>77.78</v>
      </c>
      <c r="D6" s="3">
        <f>$H$6*B6+$H$7</f>
        <v>65.63720326467951</v>
      </c>
      <c r="E6" s="3">
        <f>C6-D6</f>
        <v>12.142796735320488</v>
      </c>
      <c r="G6" s="0" t="inlineStr">
        <is>
          <t xml:space="preserve">Pendiente m</t>
        </is>
      </c>
      <c r="H6" s="3">
        <f>SLOPE(C5:C230,B5:B230)</f>
        <v>0.0003436457100120381</v>
      </c>
    </row>
    <row r="7">
      <c r="A7" s="0" t="inlineStr">
        <is>
          <t xml:space="preserve">Algeria</t>
        </is>
      </c>
      <c r="B7" s="2">
        <v>7000</v>
      </c>
      <c r="C7" s="2">
        <v>73.77</v>
      </c>
      <c r="D7" s="3">
        <f>$H$6*B7+$H$7</f>
        <v>65.98084897469155</v>
      </c>
      <c r="E7" s="3">
        <f>C7-D7</f>
        <v>7.789151025308442</v>
      </c>
      <c r="G7" s="0" t="inlineStr">
        <is>
          <t xml:space="preserve">Intercepto b</t>
        </is>
      </c>
      <c r="H7" s="3">
        <f>INTERCEPT(C5:C230,B5:B230)</f>
        <v>63.57532900460728</v>
      </c>
    </row>
    <row r="8">
      <c r="A8" s="0" t="inlineStr">
        <is>
          <t xml:space="preserve">American Samoa</t>
        </is>
      </c>
      <c r="B8" s="2">
        <v>8000</v>
      </c>
      <c r="C8" s="2">
        <v>76.45</v>
      </c>
      <c r="D8" s="3">
        <f>$H$6*B8+$H$7</f>
        <v>66.3244946847036</v>
      </c>
      <c r="E8" s="3">
        <f>C8-D8</f>
        <v>10.125505315296408</v>
      </c>
      <c r="G8" s="0" t="inlineStr">
        <is>
          <t xml:space="preserve">R²</t>
        </is>
      </c>
      <c r="H8" s="3">
        <f>RSQ(C5:C230,B5:B230)</f>
        <v>0.288603067424985</v>
      </c>
    </row>
    <row r="9">
      <c r="A9" s="0" t="inlineStr">
        <is>
          <t xml:space="preserve">Andorra</t>
        </is>
      </c>
      <c r="B9" s="2">
        <v>42500</v>
      </c>
      <c r="C9" s="2">
        <v>83.53</v>
      </c>
      <c r="D9" s="3">
        <f>$H$6*B9+$H$7</f>
        <v>78.1802716801189</v>
      </c>
      <c r="E9" s="3">
        <f>C9-D9</f>
        <v>5.349728319881095</v>
      </c>
      <c r="G9" s="0" t="inlineStr">
        <is>
          <t xml:space="preserve">X para predecir</t>
        </is>
      </c>
      <c r="H9" s="2">
        <v>800</v>
      </c>
    </row>
    <row r="10">
      <c r="A10" s="0" t="inlineStr">
        <is>
          <t xml:space="preserve">Angola</t>
        </is>
      </c>
      <c r="B10" s="2">
        <v>8800</v>
      </c>
      <c r="C10" s="2">
        <v>37.92</v>
      </c>
      <c r="D10" s="3">
        <f>$H$6*B10+$H$7</f>
        <v>66.59941125271322</v>
      </c>
      <c r="E10" s="3">
        <f>C10-D10</f>
        <v>-28.679411252713223</v>
      </c>
      <c r="G10" s="0" t="inlineStr">
        <is>
          <t xml:space="preserve">Y predicha</t>
        </is>
      </c>
      <c r="H10" s="3">
        <f>H6*H9+H7</f>
        <v>63.85024557261691</v>
      </c>
    </row>
    <row r="11">
      <c r="A11" s="0" t="inlineStr">
        <is>
          <t xml:space="preserve">Anguilla</t>
        </is>
      </c>
      <c r="B11" s="2">
        <v>8800</v>
      </c>
      <c r="C11" s="2">
        <v>80.53</v>
      </c>
      <c r="D11" s="3">
        <f>$H$6*B11+$H$7</f>
        <v>66.59941125271322</v>
      </c>
      <c r="E11" s="3">
        <f>C11-D11</f>
        <v>13.930588747286777</v>
      </c>
    </row>
    <row r="12">
      <c r="A12" s="0" t="inlineStr">
        <is>
          <t xml:space="preserve">Antigua and Barbuda</t>
        </is>
      </c>
      <c r="B12" s="2">
        <v>19000</v>
      </c>
      <c r="C12" s="2">
        <v>72.69</v>
      </c>
      <c r="D12" s="3">
        <f>$H$6*B12+$H$7</f>
        <v>70.10459749483601</v>
      </c>
      <c r="E12" s="3">
        <f>C12-D12</f>
        <v>2.5854025051639837</v>
      </c>
    </row>
    <row r="13">
      <c r="A13" s="0" t="inlineStr">
        <is>
          <t xml:space="preserve">Argentina</t>
        </is>
      </c>
      <c r="B13" s="2">
        <v>14200</v>
      </c>
      <c r="C13" s="2">
        <v>76.52</v>
      </c>
      <c r="D13" s="3">
        <f>$H$6*B13+$H$7</f>
        <v>68.45509808677822</v>
      </c>
      <c r="E13" s="3">
        <f>C13-D13</f>
        <v>8.064901913221775</v>
      </c>
    </row>
    <row r="14">
      <c r="A14" s="0" t="inlineStr">
        <is>
          <t xml:space="preserve">Armenia</t>
        </is>
      </c>
      <c r="B14" s="2">
        <v>6400</v>
      </c>
      <c r="C14" s="2">
        <v>72.4</v>
      </c>
      <c r="D14" s="3">
        <f>$H$6*B14+$H$7</f>
        <v>65.77466154868432</v>
      </c>
      <c r="E14" s="3">
        <f>C14-D14</f>
        <v>6.6253384513156846</v>
      </c>
    </row>
    <row r="15">
      <c r="A15" s="0" t="inlineStr">
        <is>
          <t xml:space="preserve">Aruba</t>
        </is>
      </c>
      <c r="B15" s="2">
        <v>21800</v>
      </c>
      <c r="C15" s="2">
        <v>75.06</v>
      </c>
      <c r="D15" s="3">
        <f>$H$6*B15+$H$7</f>
        <v>71.06680548286971</v>
      </c>
      <c r="E15" s="3">
        <f>C15-D15</f>
        <v>3.9931945171302914</v>
      </c>
    </row>
    <row r="16">
      <c r="A16" s="0" t="inlineStr">
        <is>
          <t xml:space="preserve">Australia</t>
        </is>
      </c>
      <c r="B16" s="2">
        <v>38100</v>
      </c>
      <c r="C16" s="2">
        <v>80.73</v>
      </c>
      <c r="D16" s="3">
        <f>$H$6*B16+$H$7</f>
        <v>76.66823055606594</v>
      </c>
      <c r="E16" s="3">
        <f>C16-D16</f>
        <v>4.061769443934068</v>
      </c>
    </row>
    <row r="17">
      <c r="A17" s="0" t="inlineStr">
        <is>
          <t xml:space="preserve">Austria</t>
        </is>
      </c>
      <c r="B17" s="2">
        <v>39200</v>
      </c>
      <c r="C17" s="2">
        <v>79.36</v>
      </c>
      <c r="D17" s="3">
        <f>$H$6*B17+$H$7</f>
        <v>77.04624083707918</v>
      </c>
      <c r="E17" s="3">
        <f>C17-D17</f>
        <v>2.3137591629208174</v>
      </c>
    </row>
    <row r="18">
      <c r="A18" s="0" t="inlineStr">
        <is>
          <t xml:space="preserve">Azerbaijan</t>
        </is>
      </c>
      <c r="B18" s="2">
        <v>9000</v>
      </c>
      <c r="C18" s="2">
        <v>66.31</v>
      </c>
      <c r="D18" s="3">
        <f>$H$6*B18+$H$7</f>
        <v>66.66814039471562</v>
      </c>
      <c r="E18" s="3">
        <f>C18-D18</f>
        <v>-0.358140394715619</v>
      </c>
    </row>
    <row r="19">
      <c r="A19" s="0" t="inlineStr">
        <is>
          <t xml:space="preserve">Bahamas</t>
        </is>
      </c>
      <c r="B19" s="2">
        <v>28600</v>
      </c>
      <c r="C19" s="2">
        <v>65.72</v>
      </c>
      <c r="D19" s="3">
        <f>$H$6*B19+$H$7</f>
        <v>73.40359631095157</v>
      </c>
      <c r="E19" s="3">
        <f>C19-D19</f>
        <v>-7.683596310951572</v>
      </c>
    </row>
    <row r="20">
      <c r="A20" s="0" t="inlineStr">
        <is>
          <t xml:space="preserve">Bahrain</t>
        </is>
      </c>
      <c r="B20" s="2">
        <v>37200</v>
      </c>
      <c r="C20" s="2">
        <v>74.92</v>
      </c>
      <c r="D20" s="3">
        <f>$H$6*B20+$H$7</f>
        <v>76.3589494170551</v>
      </c>
      <c r="E20" s="3">
        <f>C20-D20</f>
        <v>-1.438949417055099</v>
      </c>
    </row>
    <row r="21">
      <c r="A21" s="0" t="inlineStr">
        <is>
          <t xml:space="preserve">Bangladesh</t>
        </is>
      </c>
      <c r="B21" s="2">
        <v>1500</v>
      </c>
      <c r="C21" s="2">
        <v>63.21</v>
      </c>
      <c r="D21" s="3">
        <f>$H$6*B21+$H$7</f>
        <v>64.09079756962534</v>
      </c>
      <c r="E21" s="3">
        <f>C21-D21</f>
        <v>-0.8807975696253365</v>
      </c>
    </row>
    <row r="22">
      <c r="A22" s="0" t="inlineStr">
        <is>
          <t xml:space="preserve">Barbados</t>
        </is>
      </c>
      <c r="B22" s="2">
        <v>19300</v>
      </c>
      <c r="C22" s="2">
        <v>73.21</v>
      </c>
      <c r="D22" s="3">
        <f>$H$6*B22+$H$7</f>
        <v>70.20769120783962</v>
      </c>
      <c r="E22" s="3">
        <f>C22-D22</f>
        <v>3.0023087921603775</v>
      </c>
    </row>
    <row r="23">
      <c r="A23" s="0" t="inlineStr">
        <is>
          <t xml:space="preserve">Belarus</t>
        </is>
      </c>
      <c r="B23" s="2">
        <v>11800</v>
      </c>
      <c r="C23" s="2">
        <v>70.34</v>
      </c>
      <c r="D23" s="3">
        <f>$H$6*B23+$H$7</f>
        <v>67.63034838274933</v>
      </c>
      <c r="E23" s="3">
        <f>C23-D23</f>
        <v>2.709651617250671</v>
      </c>
    </row>
    <row r="24">
      <c r="A24" s="0" t="inlineStr">
        <is>
          <t xml:space="preserve">Belgium</t>
        </is>
      </c>
      <c r="B24" s="2">
        <v>37500</v>
      </c>
      <c r="C24" s="2">
        <v>79.07</v>
      </c>
      <c r="D24" s="3">
        <f>$H$6*B24+$H$7</f>
        <v>76.46204313005872</v>
      </c>
      <c r="E24" s="3">
        <f>C24-D24</f>
        <v>2.607956869941276</v>
      </c>
    </row>
    <row r="25">
      <c r="A25" s="0" t="inlineStr">
        <is>
          <t xml:space="preserve">Belize</t>
        </is>
      </c>
      <c r="B25" s="2">
        <v>8600</v>
      </c>
      <c r="C25" s="2">
        <v>68.19</v>
      </c>
      <c r="D25" s="3">
        <f>$H$6*B25+$H$7</f>
        <v>66.53068211071081</v>
      </c>
      <c r="E25" s="3">
        <f>C25-D25</f>
        <v>1.6593178892891842</v>
      </c>
    </row>
    <row r="26">
      <c r="A26" s="0" t="inlineStr">
        <is>
          <t xml:space="preserve">Benin</t>
        </is>
      </c>
      <c r="B26" s="2">
        <v>1500</v>
      </c>
      <c r="C26" s="2">
        <v>53.85</v>
      </c>
      <c r="D26" s="3">
        <f>$H$6*B26+$H$7</f>
        <v>64.09079756962534</v>
      </c>
      <c r="E26" s="3">
        <f>C26-D26</f>
        <v>-10.240797569625336</v>
      </c>
    </row>
    <row r="27">
      <c r="A27" s="0" t="inlineStr">
        <is>
          <t xml:space="preserve">Bermuda</t>
        </is>
      </c>
      <c r="B27" s="2">
        <v>69900</v>
      </c>
      <c r="C27" s="2">
        <v>78.3</v>
      </c>
      <c r="D27" s="3">
        <f>$H$6*B27+$H$7</f>
        <v>87.59616413444874</v>
      </c>
      <c r="E27" s="3">
        <f>C27-D27</f>
        <v>-9.296164134448745</v>
      </c>
    </row>
    <row r="28">
      <c r="A28" s="0" t="inlineStr">
        <is>
          <t xml:space="preserve">Bhutan</t>
        </is>
      </c>
      <c r="B28" s="2">
        <v>5600</v>
      </c>
      <c r="C28" s="2">
        <v>65.53</v>
      </c>
      <c r="D28" s="3">
        <f>$H$6*B28+$H$7</f>
        <v>65.49974498067469</v>
      </c>
      <c r="E28" s="3">
        <f>C28-D28</f>
        <v>0.030255019325309718</v>
      </c>
    </row>
    <row r="29">
      <c r="A29" s="0" t="inlineStr">
        <is>
          <t xml:space="preserve">Bolivia</t>
        </is>
      </c>
      <c r="B29" s="2">
        <v>4500</v>
      </c>
      <c r="C29" s="2">
        <v>66.53</v>
      </c>
      <c r="D29" s="3">
        <f>$H$6*B29+$H$7</f>
        <v>65.12173469966146</v>
      </c>
      <c r="E29" s="3">
        <f>C29-D29</f>
        <v>1.4082653003385417</v>
      </c>
    </row>
    <row r="30">
      <c r="A30" s="0" t="inlineStr">
        <is>
          <t xml:space="preserve">Bosnia and Herzegovina</t>
        </is>
      </c>
      <c r="B30" s="2">
        <v>6500</v>
      </c>
      <c r="C30" s="2">
        <v>78.33</v>
      </c>
      <c r="D30" s="3">
        <f>$H$6*B30+$H$7</f>
        <v>65.80902611968553</v>
      </c>
      <c r="E30" s="3">
        <f>C30-D30</f>
        <v>12.520973880314472</v>
      </c>
    </row>
    <row r="31">
      <c r="A31" s="0" t="inlineStr">
        <is>
          <t xml:space="preserve">Botswana</t>
        </is>
      </c>
      <c r="B31" s="2">
        <v>13300</v>
      </c>
      <c r="C31" s="2">
        <v>50.16</v>
      </c>
      <c r="D31" s="3">
        <f>$H$6*B31+$H$7</f>
        <v>68.14581694776739</v>
      </c>
      <c r="E31" s="3">
        <f>C31-D31</f>
        <v>-17.98581694776739</v>
      </c>
    </row>
    <row r="32">
      <c r="A32" s="0" t="inlineStr">
        <is>
          <t xml:space="preserve">Brazil</t>
        </is>
      </c>
      <c r="B32" s="2">
        <v>10100</v>
      </c>
      <c r="C32" s="2">
        <v>72.51</v>
      </c>
      <c r="D32" s="3">
        <f>$H$6*B32+$H$7</f>
        <v>67.04615067572887</v>
      </c>
      <c r="E32" s="3">
        <f>C32-D32</f>
        <v>5.463849324271138</v>
      </c>
    </row>
    <row r="33">
      <c r="A33" s="0" t="inlineStr">
        <is>
          <t xml:space="preserve">British Virgin Islands</t>
        </is>
      </c>
      <c r="B33" s="2">
        <v>38500</v>
      </c>
      <c r="C33" s="2">
        <v>77.06</v>
      </c>
      <c r="D33" s="3">
        <f>$H$6*B33+$H$7</f>
        <v>76.80568884007076</v>
      </c>
      <c r="E33" s="3">
        <f>C33-D33</f>
        <v>0.25431115992924447</v>
      </c>
    </row>
    <row r="34">
      <c r="A34" s="0" t="inlineStr">
        <is>
          <t xml:space="preserve">Brunei</t>
        </is>
      </c>
      <c r="B34" s="2">
        <v>53100</v>
      </c>
      <c r="C34" s="2">
        <v>75.52</v>
      </c>
      <c r="D34" s="3">
        <f>$H$6*B34+$H$7</f>
        <v>81.8229162062465</v>
      </c>
      <c r="E34" s="3">
        <f>C34-D34</f>
        <v>-6.302916206246508</v>
      </c>
    </row>
    <row r="35">
      <c r="A35" s="0" t="inlineStr">
        <is>
          <t xml:space="preserve">Bulgaria</t>
        </is>
      </c>
      <c r="B35" s="2">
        <v>12900</v>
      </c>
      <c r="C35" s="2">
        <v>72.83</v>
      </c>
      <c r="D35" s="3">
        <f>$H$6*B35+$H$7</f>
        <v>68.00835866376258</v>
      </c>
      <c r="E35" s="3">
        <f>C35-D35</f>
        <v>4.82164133623742</v>
      </c>
    </row>
    <row r="36">
      <c r="A36" s="0" t="inlineStr">
        <is>
          <t xml:space="preserve">Burkina Faso</t>
        </is>
      </c>
      <c r="B36" s="2">
        <v>1200</v>
      </c>
      <c r="C36" s="2">
        <v>52.55</v>
      </c>
      <c r="D36" s="3">
        <f>$H$6*B36+$H$7</f>
        <v>63.98770385662173</v>
      </c>
      <c r="E36" s="3">
        <f>C36-D36</f>
        <v>-11.43770385662173</v>
      </c>
    </row>
    <row r="37">
      <c r="A37" s="0" t="inlineStr">
        <is>
          <t xml:space="preserve">Burma</t>
        </is>
      </c>
      <c r="B37" s="2">
        <v>1200</v>
      </c>
      <c r="C37" s="2">
        <v>62.94</v>
      </c>
      <c r="D37" s="3">
        <f>$H$6*B37+$H$7</f>
        <v>63.98770385662173</v>
      </c>
      <c r="E37" s="3">
        <f>C37-D37</f>
        <v>-1.0477038566217303</v>
      </c>
    </row>
    <row r="38">
      <c r="A38" s="0" t="inlineStr">
        <is>
          <t xml:space="preserve">Burundi</t>
        </is>
      </c>
      <c r="B38" s="2">
        <v>400</v>
      </c>
      <c r="C38" s="2">
        <v>51.71</v>
      </c>
      <c r="D38" s="3">
        <f>$H$6*B38+$H$7</f>
        <v>63.7127872886121</v>
      </c>
      <c r="E38" s="3">
        <f>C38-D38</f>
        <v>-12.002787288612097</v>
      </c>
    </row>
    <row r="39">
      <c r="A39" s="0" t="inlineStr">
        <is>
          <t xml:space="preserve">Cambodia</t>
        </is>
      </c>
      <c r="B39" s="2">
        <v>2000</v>
      </c>
      <c r="C39" s="2">
        <v>61.69</v>
      </c>
      <c r="D39" s="3">
        <f>$H$6*B39+$H$7</f>
        <v>64.26262042463136</v>
      </c>
      <c r="E39" s="3">
        <f>C39-D39</f>
        <v>-2.572620424631367</v>
      </c>
    </row>
    <row r="40">
      <c r="A40" s="0" t="inlineStr">
        <is>
          <t xml:space="preserve">Cameroon</t>
        </is>
      </c>
      <c r="B40" s="2">
        <v>2300</v>
      </c>
      <c r="C40" s="2">
        <v>53.3</v>
      </c>
      <c r="D40" s="3">
        <f>$H$6*B40+$H$7</f>
        <v>64.36571413763497</v>
      </c>
      <c r="E40" s="3">
        <f>C40-D40</f>
        <v>-11.06571413763497</v>
      </c>
    </row>
    <row r="41">
      <c r="A41" s="0" t="inlineStr">
        <is>
          <t xml:space="preserve">Canada</t>
        </is>
      </c>
      <c r="B41" s="2">
        <v>39300</v>
      </c>
      <c r="C41" s="2">
        <v>81.16</v>
      </c>
      <c r="D41" s="3">
        <f>$H$6*B41+$H$7</f>
        <v>77.08060540808037</v>
      </c>
      <c r="E41" s="3">
        <f>C41-D41</f>
        <v>4.079394591919623</v>
      </c>
    </row>
    <row r="42">
      <c r="A42" s="0" t="inlineStr">
        <is>
          <t xml:space="preserve">Cape Verde</t>
        </is>
      </c>
      <c r="B42" s="2">
        <v>3800</v>
      </c>
      <c r="C42" s="2">
        <v>71.33</v>
      </c>
      <c r="D42" s="3">
        <f>$H$6*B42+$H$7</f>
        <v>64.88118270265304</v>
      </c>
      <c r="E42" s="3">
        <f>C42-D42</f>
        <v>6.448817297346963</v>
      </c>
    </row>
    <row r="43">
      <c r="A43" s="0" t="inlineStr">
        <is>
          <t xml:space="preserve">Cayman Islands</t>
        </is>
      </c>
      <c r="B43" s="2">
        <v>43800</v>
      </c>
      <c r="C43" s="2">
        <v>80.32</v>
      </c>
      <c r="D43" s="3">
        <f>$H$6*B43+$H$7</f>
        <v>78.62701110313455</v>
      </c>
      <c r="E43" s="3">
        <f>C43-D43</f>
        <v>1.6929888968654438</v>
      </c>
    </row>
    <row r="44">
      <c r="A44" s="0" t="inlineStr">
        <is>
          <t xml:space="preserve">Central African Republic</t>
        </is>
      </c>
      <c r="B44" s="2">
        <v>700</v>
      </c>
      <c r="C44" s="2">
        <v>43.97</v>
      </c>
      <c r="D44" s="3">
        <f>$H$6*B44+$H$7</f>
        <v>63.81588100161571</v>
      </c>
      <c r="E44" s="3">
        <f>C44-D44</f>
        <v>-19.84588100161571</v>
      </c>
    </row>
    <row r="45">
      <c r="A45" s="0" t="inlineStr">
        <is>
          <t xml:space="preserve">Chad</t>
        </is>
      </c>
      <c r="B45" s="2">
        <v>1600</v>
      </c>
      <c r="C45" s="2">
        <v>47.43</v>
      </c>
      <c r="D45" s="3">
        <f>$H$6*B45+$H$7</f>
        <v>64.12516214062654</v>
      </c>
      <c r="E45" s="3">
        <f>C45-D45</f>
        <v>-16.695162140626543</v>
      </c>
    </row>
    <row r="46">
      <c r="A46" s="0" t="inlineStr">
        <is>
          <t xml:space="preserve">Chile</t>
        </is>
      </c>
      <c r="B46" s="2">
        <v>14900</v>
      </c>
      <c r="C46" s="2">
        <v>77.15</v>
      </c>
      <c r="D46" s="3">
        <f>$H$6*B46+$H$7</f>
        <v>68.69565008378665</v>
      </c>
      <c r="E46" s="3">
        <f>C46-D46</f>
        <v>8.45434991621336</v>
      </c>
    </row>
    <row r="47">
      <c r="A47" s="0" t="inlineStr">
        <is>
          <t xml:space="preserve">China, People's Republic of</t>
        </is>
      </c>
      <c r="B47" s="2">
        <v>6000</v>
      </c>
      <c r="C47" s="2">
        <v>73.18</v>
      </c>
      <c r="D47" s="3">
        <f>$H$6*B47+$H$7</f>
        <v>65.63720326467951</v>
      </c>
      <c r="E47" s="3">
        <f>C47-D47</f>
        <v>7.542796735320493</v>
      </c>
    </row>
    <row r="48">
      <c r="A48" s="0" t="inlineStr">
        <is>
          <t xml:space="preserve">Colombia</t>
        </is>
      </c>
      <c r="B48" s="2">
        <v>8900</v>
      </c>
      <c r="C48" s="2">
        <v>72.54</v>
      </c>
      <c r="D48" s="3">
        <f>$H$6*B48+$H$7</f>
        <v>66.63377582371442</v>
      </c>
      <c r="E48" s="3">
        <f>C48-D48</f>
        <v>5.9062241762855905</v>
      </c>
    </row>
    <row r="49">
      <c r="A49" s="0" t="inlineStr">
        <is>
          <t xml:space="preserve">Comoros</t>
        </is>
      </c>
      <c r="B49" s="2">
        <v>1000</v>
      </c>
      <c r="C49" s="2">
        <v>63.1</v>
      </c>
      <c r="D49" s="3">
        <f>$H$6*B49+$H$7</f>
        <v>63.918974714619324</v>
      </c>
      <c r="E49" s="3">
        <f>C49-D49</f>
        <v>-0.8189747146193227</v>
      </c>
    </row>
    <row r="50">
      <c r="A50" s="0" t="inlineStr">
        <is>
          <t xml:space="preserve">Congo, Democratic Republic of the</t>
        </is>
      </c>
      <c r="B50" s="2">
        <v>300</v>
      </c>
      <c r="C50" s="2">
        <v>53.98</v>
      </c>
      <c r="D50" s="3">
        <f>$H$6*B50+$H$7</f>
        <v>63.67842271761089</v>
      </c>
      <c r="E50" s="3">
        <f>C50-D50</f>
        <v>-9.698422717610896</v>
      </c>
    </row>
    <row r="51">
      <c r="A51" s="0" t="inlineStr">
        <is>
          <t xml:space="preserve">Congo, Republic of the</t>
        </is>
      </c>
      <c r="B51" s="2">
        <v>4000</v>
      </c>
      <c r="C51" s="2">
        <v>53.74</v>
      </c>
      <c r="D51" s="3">
        <f>$H$6*B51+$H$7</f>
        <v>64.94991184465543</v>
      </c>
      <c r="E51" s="3">
        <f>C51-D51</f>
        <v>-11.20991184465543</v>
      </c>
    </row>
    <row r="52">
      <c r="A52" s="0" t="inlineStr">
        <is>
          <t xml:space="preserve">Cook Islands</t>
        </is>
      </c>
      <c r="B52" s="2">
        <v>9100</v>
      </c>
      <c r="C52" s="2">
        <v>71.88</v>
      </c>
      <c r="D52" s="3">
        <f>$H$6*B52+$H$7</f>
        <v>66.70250496571683</v>
      </c>
      <c r="E52" s="3">
        <f>C52-D52</f>
        <v>5.177495034283169</v>
      </c>
    </row>
    <row r="53">
      <c r="A53" s="0" t="inlineStr">
        <is>
          <t xml:space="preserve">Costa Rica</t>
        </is>
      </c>
      <c r="B53" s="2">
        <v>11600</v>
      </c>
      <c r="C53" s="2">
        <v>77.4</v>
      </c>
      <c r="D53" s="3">
        <f>$H$6*B53+$H$7</f>
        <v>67.56161924074692</v>
      </c>
      <c r="E53" s="3">
        <f>C53-D53</f>
        <v>9.838380759253084</v>
      </c>
    </row>
    <row r="54">
      <c r="A54" s="0" t="inlineStr">
        <is>
          <t xml:space="preserve">Côte d'Ivoire</t>
        </is>
      </c>
      <c r="B54" s="2">
        <v>1700</v>
      </c>
      <c r="C54" s="2">
        <v>49.18</v>
      </c>
      <c r="D54" s="3">
        <f>$H$6*B54+$H$7</f>
        <v>64.15952671162775</v>
      </c>
      <c r="E54" s="3">
        <f>C54-D54</f>
        <v>-14.979526711627749</v>
      </c>
    </row>
    <row r="55">
      <c r="A55" s="0" t="inlineStr">
        <is>
          <t xml:space="preserve">Croatia</t>
        </is>
      </c>
      <c r="B55" s="2">
        <v>16100.000000000002</v>
      </c>
      <c r="C55" s="2">
        <v>75.13</v>
      </c>
      <c r="D55" s="3">
        <f>$H$6*B55+$H$7</f>
        <v>69.1080249358011</v>
      </c>
      <c r="E55" s="3">
        <f>C55-D55</f>
        <v>6.021975064198898</v>
      </c>
    </row>
    <row r="56">
      <c r="A56" s="0" t="inlineStr">
        <is>
          <t xml:space="preserve">Cuba</t>
        </is>
      </c>
      <c r="B56" s="2">
        <v>9500</v>
      </c>
      <c r="C56" s="2">
        <v>77.27</v>
      </c>
      <c r="D56" s="3">
        <f>$H$6*B56+$H$7</f>
        <v>66.83996324972165</v>
      </c>
      <c r="E56" s="3">
        <f>C56-D56</f>
        <v>10.430036750278347</v>
      </c>
    </row>
    <row r="57">
      <c r="A57" s="0" t="inlineStr">
        <is>
          <t xml:space="preserve">Cyprus</t>
        </is>
      </c>
      <c r="B57" s="2">
        <v>28600</v>
      </c>
      <c r="C57" s="2">
        <v>78.15</v>
      </c>
      <c r="D57" s="3">
        <f>$H$6*B57+$H$7</f>
        <v>73.40359631095157</v>
      </c>
      <c r="E57" s="3">
        <f>C57-D57</f>
        <v>4.746403689048435</v>
      </c>
    </row>
    <row r="58">
      <c r="A58" s="0" t="inlineStr">
        <is>
          <t xml:space="preserve">Czech Republic</t>
        </is>
      </c>
      <c r="B58" s="2">
        <v>26100</v>
      </c>
      <c r="C58" s="2">
        <v>76.62</v>
      </c>
      <c r="D58" s="3">
        <f>$H$6*B58+$H$7</f>
        <v>72.54448203592148</v>
      </c>
      <c r="E58" s="3">
        <f>C58-D58</f>
        <v>4.075517964078529</v>
      </c>
    </row>
    <row r="59">
      <c r="A59" s="0" t="inlineStr">
        <is>
          <t xml:space="preserve">Denmark</t>
        </is>
      </c>
      <c r="B59" s="2">
        <v>37400</v>
      </c>
      <c r="C59" s="2">
        <v>78.13</v>
      </c>
      <c r="D59" s="3">
        <f>$H$6*B59+$H$7</f>
        <v>76.42767855905751</v>
      </c>
      <c r="E59" s="3">
        <f>C59-D59</f>
        <v>1.7023214409424838</v>
      </c>
    </row>
    <row r="60">
      <c r="A60" s="0" t="inlineStr">
        <is>
          <t xml:space="preserve">Djibouti</t>
        </is>
      </c>
      <c r="B60" s="2">
        <v>3700</v>
      </c>
      <c r="C60" s="2">
        <v>43.31</v>
      </c>
      <c r="D60" s="3">
        <f>$H$6*B60+$H$7</f>
        <v>64.84681813165183</v>
      </c>
      <c r="E60" s="3">
        <f>C60-D60</f>
        <v>-21.536818131651827</v>
      </c>
    </row>
    <row r="61">
      <c r="A61" s="0" t="inlineStr">
        <is>
          <t xml:space="preserve">Dominica</t>
        </is>
      </c>
      <c r="B61" s="2">
        <v>9900</v>
      </c>
      <c r="C61" s="2">
        <v>75.33</v>
      </c>
      <c r="D61" s="3">
        <f>$H$6*B61+$H$7</f>
        <v>66.97742153372646</v>
      </c>
      <c r="E61" s="3">
        <f>C61-D61</f>
        <v>8.352578466273542</v>
      </c>
    </row>
    <row r="62">
      <c r="A62" s="0" t="inlineStr">
        <is>
          <t xml:space="preserve">Dominican Republic</t>
        </is>
      </c>
      <c r="B62" s="2">
        <v>8100</v>
      </c>
      <c r="C62" s="2">
        <v>73.39</v>
      </c>
      <c r="D62" s="3">
        <f>$H$6*B62+$H$7</f>
        <v>66.35885925570479</v>
      </c>
      <c r="E62" s="3">
        <f>C62-D62</f>
        <v>7.0311407442952145</v>
      </c>
    </row>
    <row r="63">
      <c r="A63" s="0" t="inlineStr">
        <is>
          <t xml:space="preserve">Ecuador</t>
        </is>
      </c>
      <c r="B63" s="2">
        <v>7500</v>
      </c>
      <c r="C63" s="2">
        <v>76.81</v>
      </c>
      <c r="D63" s="3">
        <f>$H$6*B63+$H$7</f>
        <v>66.15267182969757</v>
      </c>
      <c r="E63" s="3">
        <f>C63-D63</f>
        <v>10.657328170302435</v>
      </c>
    </row>
    <row r="64">
      <c r="A64" s="0" t="inlineStr">
        <is>
          <t xml:space="preserve">Egypt</t>
        </is>
      </c>
      <c r="B64" s="2">
        <v>5400</v>
      </c>
      <c r="C64" s="2">
        <v>71.85</v>
      </c>
      <c r="D64" s="3">
        <f>$H$6*B64+$H$7</f>
        <v>65.4310158386723</v>
      </c>
      <c r="E64" s="3">
        <f>C64-D64</f>
        <v>6.4189841613277</v>
      </c>
    </row>
    <row r="65">
      <c r="A65" s="0" t="inlineStr">
        <is>
          <t xml:space="preserve">El Salvador</t>
        </is>
      </c>
      <c r="B65" s="2">
        <v>6200</v>
      </c>
      <c r="C65" s="2">
        <v>72.06</v>
      </c>
      <c r="D65" s="3">
        <f>$H$6*B65+$H$7</f>
        <v>65.70593240668192</v>
      </c>
      <c r="E65" s="3">
        <f>C65-D65</f>
        <v>6.354067593318078</v>
      </c>
    </row>
    <row r="66">
      <c r="A66" s="0" t="inlineStr">
        <is>
          <t xml:space="preserve">Equatorial Guinea</t>
        </is>
      </c>
      <c r="B66" s="2">
        <v>31400</v>
      </c>
      <c r="C66" s="2">
        <v>61.23</v>
      </c>
      <c r="D66" s="3">
        <f>$H$6*B66+$H$7</f>
        <v>74.36580429898528</v>
      </c>
      <c r="E66" s="3">
        <f>C66-D66</f>
        <v>-13.135804298985285</v>
      </c>
    </row>
    <row r="67">
      <c r="A67" s="0" t="inlineStr">
        <is>
          <t xml:space="preserve">Eritrea</t>
        </is>
      </c>
      <c r="B67" s="2">
        <v>700</v>
      </c>
      <c r="C67" s="2">
        <v>60.05</v>
      </c>
      <c r="D67" s="3">
        <f>$H$6*B67+$H$7</f>
        <v>63.81588100161571</v>
      </c>
      <c r="E67" s="3">
        <f>C67-D67</f>
        <v>-3.7658810016157105</v>
      </c>
    </row>
    <row r="68">
      <c r="A68" s="0" t="inlineStr">
        <is>
          <t xml:space="preserve">Estonia</t>
        </is>
      </c>
      <c r="B68" s="2">
        <v>21200</v>
      </c>
      <c r="C68" s="2">
        <v>72.56</v>
      </c>
      <c r="D68" s="3">
        <f>$H$6*B68+$H$7</f>
        <v>70.86061805686249</v>
      </c>
      <c r="E68" s="3">
        <f>C68-D68</f>
        <v>1.6993819431375101</v>
      </c>
    </row>
    <row r="69">
      <c r="A69" s="0" t="inlineStr">
        <is>
          <t xml:space="preserve">Ethiopia</t>
        </is>
      </c>
      <c r="B69" s="2">
        <v>800</v>
      </c>
      <c r="C69" s="2">
        <v>49.43</v>
      </c>
      <c r="D69" s="3">
        <f>$H$6*B69+$H$7</f>
        <v>63.85024557261691</v>
      </c>
      <c r="E69" s="3">
        <f>C69-D69</f>
        <v>-14.420245572616913</v>
      </c>
    </row>
    <row r="70">
      <c r="A70" s="0" t="inlineStr">
        <is>
          <t xml:space="preserve">Faroe Islands</t>
        </is>
      </c>
      <c r="B70" s="2">
        <v>31000</v>
      </c>
      <c r="C70" s="2">
        <v>79.29</v>
      </c>
      <c r="D70" s="3">
        <f>$H$6*B70+$H$7</f>
        <v>74.22834601498046</v>
      </c>
      <c r="E70" s="3">
        <f>C70-D70</f>
        <v>5.0616539850195466</v>
      </c>
    </row>
    <row r="71">
      <c r="A71" s="0" t="inlineStr">
        <is>
          <t xml:space="preserve">Fiji</t>
        </is>
      </c>
      <c r="B71" s="2">
        <v>3900</v>
      </c>
      <c r="C71" s="2">
        <v>70.44</v>
      </c>
      <c r="D71" s="3">
        <f>$H$6*B71+$H$7</f>
        <v>64.91554727365423</v>
      </c>
      <c r="E71" s="3">
        <f>C71-D71</f>
        <v>5.524452726345771</v>
      </c>
    </row>
    <row r="72">
      <c r="A72" s="0" t="inlineStr">
        <is>
          <t xml:space="preserve">Finland</t>
        </is>
      </c>
      <c r="B72" s="2">
        <v>37200</v>
      </c>
      <c r="C72" s="2">
        <v>78.82</v>
      </c>
      <c r="D72" s="3">
        <f>$H$6*B72+$H$7</f>
        <v>76.3589494170551</v>
      </c>
      <c r="E72" s="3">
        <f>C72-D72</f>
        <v>2.4610505829448925</v>
      </c>
    </row>
    <row r="73">
      <c r="A73" s="0" t="inlineStr">
        <is>
          <t xml:space="preserve">France</t>
        </is>
      </c>
      <c r="B73" s="2">
        <v>32700.000000000004</v>
      </c>
      <c r="C73" s="2">
        <v>80.87</v>
      </c>
      <c r="D73" s="3">
        <f>$H$6*B73+$H$7</f>
        <v>74.81254372200092</v>
      </c>
      <c r="E73" s="3">
        <f>C73-D73</f>
        <v>6.05745627799908</v>
      </c>
    </row>
    <row r="74">
      <c r="A74" s="0" t="inlineStr">
        <is>
          <t xml:space="preserve">French Polynesia</t>
        </is>
      </c>
      <c r="B74" s="2">
        <v>18000</v>
      </c>
      <c r="C74" s="2">
        <v>76.51</v>
      </c>
      <c r="D74" s="3">
        <f>$H$6*B74+$H$7</f>
        <v>69.76095178482397</v>
      </c>
      <c r="E74" s="3">
        <f>C74-D74</f>
        <v>6.749048215176032</v>
      </c>
    </row>
    <row r="75">
      <c r="A75" s="0" t="inlineStr">
        <is>
          <t xml:space="preserve">Gabon</t>
        </is>
      </c>
      <c r="B75" s="2">
        <v>14400</v>
      </c>
      <c r="C75" s="2">
        <v>53.52</v>
      </c>
      <c r="D75" s="3">
        <f>$H$6*B75+$H$7</f>
        <v>68.52382722878063</v>
      </c>
      <c r="E75" s="3">
        <f>C75-D75</f>
        <v>-15.00382722878063</v>
      </c>
    </row>
    <row r="76">
      <c r="A76" s="0" t="inlineStr">
        <is>
          <t xml:space="preserve">Gambia</t>
        </is>
      </c>
      <c r="B76" s="2">
        <v>1300</v>
      </c>
      <c r="C76" s="2">
        <v>54.95</v>
      </c>
      <c r="D76" s="3">
        <f>$H$6*B76+$H$7</f>
        <v>64.02206842762293</v>
      </c>
      <c r="E76" s="3">
        <f>C76-D76</f>
        <v>-9.072068427622924</v>
      </c>
    </row>
    <row r="77">
      <c r="A77" s="0" t="inlineStr">
        <is>
          <t xml:space="preserve">Palestinian territories</t>
        </is>
      </c>
      <c r="B77" s="2">
        <v>2900</v>
      </c>
      <c r="C77" s="2">
        <v>72.34</v>
      </c>
      <c r="D77" s="3">
        <f>$H$6*B77+$H$7</f>
        <v>64.5719015636422</v>
      </c>
      <c r="E77" s="3">
        <f>C77-D77</f>
        <v>7.768098436357803</v>
      </c>
    </row>
    <row r="78">
      <c r="A78" s="0" t="inlineStr">
        <is>
          <t xml:space="preserve">Georgia</t>
        </is>
      </c>
      <c r="B78" s="2">
        <v>4700</v>
      </c>
      <c r="C78" s="2">
        <v>76.51</v>
      </c>
      <c r="D78" s="3">
        <f>$H$6*B78+$H$7</f>
        <v>65.19046384166386</v>
      </c>
      <c r="E78" s="3">
        <f>C78-D78</f>
        <v>11.319536158336149</v>
      </c>
    </row>
    <row r="79">
      <c r="A79" s="0" t="inlineStr">
        <is>
          <t xml:space="preserve">Germany</t>
        </is>
      </c>
      <c r="B79" s="2">
        <v>34800</v>
      </c>
      <c r="C79" s="2">
        <v>79.1</v>
      </c>
      <c r="D79" s="3">
        <f>$H$6*B79+$H$7</f>
        <v>75.53419971302621</v>
      </c>
      <c r="E79" s="3">
        <f>C79-D79</f>
        <v>3.565800286973783</v>
      </c>
    </row>
    <row r="80">
      <c r="A80" s="0" t="inlineStr">
        <is>
          <t xml:space="preserve">Ghana</t>
        </is>
      </c>
      <c r="B80" s="2">
        <v>1500</v>
      </c>
      <c r="C80" s="2">
        <v>59.49</v>
      </c>
      <c r="D80" s="3">
        <f>$H$6*B80+$H$7</f>
        <v>64.09079756962534</v>
      </c>
      <c r="E80" s="3">
        <f>C80-D80</f>
        <v>-4.600797569625335</v>
      </c>
    </row>
    <row r="81">
      <c r="A81" s="0" t="inlineStr">
        <is>
          <t xml:space="preserve">Gibraltar</t>
        </is>
      </c>
      <c r="B81" s="2">
        <v>38200</v>
      </c>
      <c r="C81" s="2">
        <v>80.06</v>
      </c>
      <c r="D81" s="3">
        <f>$H$6*B81+$H$7</f>
        <v>76.70259512706714</v>
      </c>
      <c r="E81" s="3">
        <f>C81-D81</f>
        <v>3.357404872932861</v>
      </c>
    </row>
    <row r="82">
      <c r="A82" s="0" t="inlineStr">
        <is>
          <t xml:space="preserve">Greece</t>
        </is>
      </c>
      <c r="B82" s="2">
        <v>32000</v>
      </c>
      <c r="C82" s="2">
        <v>79.52</v>
      </c>
      <c r="D82" s="3">
        <f>$H$6*B82+$H$7</f>
        <v>74.5719917249925</v>
      </c>
      <c r="E82" s="3">
        <f>C82-D82</f>
        <v>4.948008275007496</v>
      </c>
    </row>
    <row r="83">
      <c r="A83" s="0" t="inlineStr">
        <is>
          <t xml:space="preserve">Greenland</t>
        </is>
      </c>
      <c r="B83" s="2">
        <v>20000</v>
      </c>
      <c r="C83" s="2">
        <v>70.53</v>
      </c>
      <c r="D83" s="3">
        <f>$H$6*B83+$H$7</f>
        <v>70.44824320484804</v>
      </c>
      <c r="E83" s="3">
        <f>C83-D83</f>
        <v>0.08175679515196066</v>
      </c>
    </row>
    <row r="84">
      <c r="A84" s="0" t="inlineStr">
        <is>
          <t xml:space="preserve">Grenada</t>
        </is>
      </c>
      <c r="B84" s="2">
        <v>13400</v>
      </c>
      <c r="C84" s="2">
        <v>65.6</v>
      </c>
      <c r="D84" s="3">
        <f>$H$6*B84+$H$7</f>
        <v>68.18018151876859</v>
      </c>
      <c r="E84" s="3">
        <f>C84-D84</f>
        <v>-2.5801815187685975</v>
      </c>
    </row>
    <row r="85">
      <c r="A85" s="0" t="inlineStr">
        <is>
          <t xml:space="preserve">Guam</t>
        </is>
      </c>
      <c r="B85" s="2">
        <v>15000</v>
      </c>
      <c r="C85" s="2">
        <v>78.93</v>
      </c>
      <c r="D85" s="3">
        <f>$H$6*B85+$H$7</f>
        <v>68.73001465478785</v>
      </c>
      <c r="E85" s="3">
        <f>C85-D85</f>
        <v>10.199985345212156</v>
      </c>
    </row>
    <row r="86">
      <c r="A86" s="0" t="inlineStr">
        <is>
          <t xml:space="preserve">Guatemala</t>
        </is>
      </c>
      <c r="B86" s="2">
        <v>5200</v>
      </c>
      <c r="C86" s="2">
        <v>69.99</v>
      </c>
      <c r="D86" s="3">
        <f>$H$6*B86+$H$7</f>
        <v>65.36228669666988</v>
      </c>
      <c r="E86" s="3">
        <f>C86-D86</f>
        <v>4.627713303330111</v>
      </c>
    </row>
    <row r="87">
      <c r="A87" s="0" t="inlineStr">
        <is>
          <t xml:space="preserve">Guernsey</t>
        </is>
      </c>
      <c r="B87" s="2">
        <v>44600</v>
      </c>
      <c r="C87" s="2">
        <v>80.65</v>
      </c>
      <c r="D87" s="3">
        <f>$H$6*B87+$H$7</f>
        <v>78.90192767114418</v>
      </c>
      <c r="E87" s="3">
        <f>C87-D87</f>
        <v>1.7480723288558266</v>
      </c>
    </row>
    <row r="88">
      <c r="A88" s="0" t="inlineStr">
        <is>
          <t xml:space="preserve">Guinea</t>
        </is>
      </c>
      <c r="B88" s="2">
        <v>1100</v>
      </c>
      <c r="C88" s="2">
        <v>49.8</v>
      </c>
      <c r="D88" s="3">
        <f>$H$6*B88+$H$7</f>
        <v>63.95333928562052</v>
      </c>
      <c r="E88" s="3">
        <f>C88-D88</f>
        <v>-14.153339285620525</v>
      </c>
    </row>
    <row r="89">
      <c r="A89" s="0" t="inlineStr">
        <is>
          <t xml:space="preserve">Guinea-Bissau</t>
        </is>
      </c>
      <c r="B89" s="2">
        <v>600</v>
      </c>
      <c r="C89" s="2">
        <v>47.52</v>
      </c>
      <c r="D89" s="3">
        <f>$H$6*B89+$H$7</f>
        <v>63.78151643061451</v>
      </c>
      <c r="E89" s="3">
        <f>C89-D89</f>
        <v>-16.261516430614506</v>
      </c>
    </row>
    <row r="90">
      <c r="A90" s="0" t="inlineStr">
        <is>
          <t xml:space="preserve">Guyana</t>
        </is>
      </c>
      <c r="B90" s="2">
        <v>3900</v>
      </c>
      <c r="C90" s="2">
        <v>66.43</v>
      </c>
      <c r="D90" s="3">
        <f>$H$6*B90+$H$7</f>
        <v>64.91554727365423</v>
      </c>
      <c r="E90" s="3">
        <f>C90-D90</f>
        <v>1.5144527263457803</v>
      </c>
    </row>
    <row r="91">
      <c r="A91" s="0" t="inlineStr">
        <is>
          <t xml:space="preserve">Haiti</t>
        </is>
      </c>
      <c r="B91" s="2">
        <v>1300</v>
      </c>
      <c r="C91" s="2">
        <v>57.56</v>
      </c>
      <c r="D91" s="3">
        <f>$H$6*B91+$H$7</f>
        <v>64.02206842762293</v>
      </c>
      <c r="E91" s="3">
        <f>C91-D91</f>
        <v>-6.462068427622924</v>
      </c>
    </row>
    <row r="92">
      <c r="A92" s="0" t="inlineStr">
        <is>
          <t xml:space="preserve">Honduras</t>
        </is>
      </c>
      <c r="B92" s="2">
        <v>4400</v>
      </c>
      <c r="C92" s="2">
        <v>69.37</v>
      </c>
      <c r="D92" s="3">
        <f>$H$6*B92+$H$7</f>
        <v>65.08737012866025</v>
      </c>
      <c r="E92" s="3">
        <f>C92-D92</f>
        <v>4.282629871339751</v>
      </c>
    </row>
    <row r="93">
      <c r="A93" s="0" t="inlineStr">
        <is>
          <t xml:space="preserve">Hong Kong</t>
        </is>
      </c>
      <c r="B93" s="2">
        <v>43800</v>
      </c>
      <c r="C93" s="2">
        <v>81.77</v>
      </c>
      <c r="D93" s="3">
        <f>$H$6*B93+$H$7</f>
        <v>78.62701110313455</v>
      </c>
      <c r="E93" s="3">
        <f>C93-D93</f>
        <v>3.1429888968654467</v>
      </c>
    </row>
    <row r="94">
      <c r="A94" s="0" t="inlineStr">
        <is>
          <t xml:space="preserve">Hungary</t>
        </is>
      </c>
      <c r="B94" s="2">
        <v>19800</v>
      </c>
      <c r="C94" s="2">
        <v>73.18</v>
      </c>
      <c r="D94" s="3">
        <f>$H$6*B94+$H$7</f>
        <v>70.37951406284564</v>
      </c>
      <c r="E94" s="3">
        <f>C94-D94</f>
        <v>2.800485937154363</v>
      </c>
    </row>
    <row r="95">
      <c r="A95" s="0" t="inlineStr">
        <is>
          <t xml:space="preserve">Iceland</t>
        </is>
      </c>
      <c r="B95" s="2">
        <v>39900</v>
      </c>
      <c r="C95" s="2">
        <v>80.55</v>
      </c>
      <c r="D95" s="3">
        <f>$H$6*B95+$H$7</f>
        <v>77.2867928340876</v>
      </c>
      <c r="E95" s="3">
        <f>C95-D95</f>
        <v>3.263207165912391</v>
      </c>
    </row>
    <row r="96">
      <c r="A96" s="0" t="inlineStr">
        <is>
          <t xml:space="preserve">India</t>
        </is>
      </c>
      <c r="B96" s="2">
        <v>2800</v>
      </c>
      <c r="C96" s="2">
        <v>69.25</v>
      </c>
      <c r="D96" s="3">
        <f>$H$6*B96+$H$7</f>
        <v>64.537536992641</v>
      </c>
      <c r="E96" s="3">
        <f>C96-D96</f>
        <v>4.7124630073590055</v>
      </c>
    </row>
    <row r="97">
      <c r="A97" s="0" t="inlineStr">
        <is>
          <t xml:space="preserve">Indonesia</t>
        </is>
      </c>
      <c r="B97" s="2">
        <v>3900</v>
      </c>
      <c r="C97" s="2">
        <v>70.46</v>
      </c>
      <c r="D97" s="3">
        <f>$H$6*B97+$H$7</f>
        <v>64.91554727365423</v>
      </c>
      <c r="E97" s="3">
        <f>C97-D97</f>
        <v>5.544452726345767</v>
      </c>
    </row>
    <row r="98">
      <c r="A98" s="0" t="inlineStr">
        <is>
          <t xml:space="preserve">Iran</t>
        </is>
      </c>
      <c r="B98" s="2">
        <v>12800</v>
      </c>
      <c r="C98" s="2">
        <v>70.86</v>
      </c>
      <c r="D98" s="3">
        <f>$H$6*B98+$H$7</f>
        <v>67.97399409276137</v>
      </c>
      <c r="E98" s="3">
        <f>C98-D98</f>
        <v>2.8860059072386264</v>
      </c>
    </row>
    <row r="99">
      <c r="A99" s="0" t="inlineStr">
        <is>
          <t xml:space="preserve">Iraq</t>
        </is>
      </c>
      <c r="B99" s="2">
        <v>4000</v>
      </c>
      <c r="C99" s="2">
        <v>69.62</v>
      </c>
      <c r="D99" s="3">
        <f>$H$6*B99+$H$7</f>
        <v>64.94991184465543</v>
      </c>
      <c r="E99" s="3">
        <f>C99-D99</f>
        <v>4.6700881553445726</v>
      </c>
    </row>
    <row r="100">
      <c r="A100" s="0" t="inlineStr">
        <is>
          <t xml:space="preserve">Ireland</t>
        </is>
      </c>
      <c r="B100" s="2">
        <v>46200</v>
      </c>
      <c r="C100" s="2">
        <v>78.07</v>
      </c>
      <c r="D100" s="3">
        <f>$H$6*B100+$H$7</f>
        <v>79.45176080716344</v>
      </c>
      <c r="E100" s="3">
        <f>C100-D100</f>
        <v>-1.3817608071634453</v>
      </c>
    </row>
    <row r="101">
      <c r="A101" s="0" t="inlineStr">
        <is>
          <t xml:space="preserve">Isle of Man</t>
        </is>
      </c>
      <c r="B101" s="2">
        <v>35000</v>
      </c>
      <c r="C101" s="2">
        <v>78.8</v>
      </c>
      <c r="D101" s="3">
        <f>$H$6*B101+$H$7</f>
        <v>75.60292885502862</v>
      </c>
      <c r="E101" s="3">
        <f>C101-D101</f>
        <v>3.1970711449713747</v>
      </c>
    </row>
    <row r="102">
      <c r="A102" s="0" t="inlineStr">
        <is>
          <t xml:space="preserve">Israel</t>
        </is>
      </c>
      <c r="B102" s="2">
        <v>28200</v>
      </c>
      <c r="C102" s="2">
        <v>80.61</v>
      </c>
      <c r="D102" s="3">
        <f>$H$6*B102+$H$7</f>
        <v>73.26613802694676</v>
      </c>
      <c r="E102" s="3">
        <f>C102-D102</f>
        <v>7.343861973053237</v>
      </c>
    </row>
    <row r="103">
      <c r="A103" s="0" t="inlineStr">
        <is>
          <t xml:space="preserve">Italy</t>
        </is>
      </c>
      <c r="B103" s="2">
        <v>31000</v>
      </c>
      <c r="C103" s="2">
        <v>80.07</v>
      </c>
      <c r="D103" s="3">
        <f>$H$6*B103+$H$7</f>
        <v>74.22834601498046</v>
      </c>
      <c r="E103" s="3">
        <f>C103-D103</f>
        <v>5.8416539850195335</v>
      </c>
    </row>
    <row r="104">
      <c r="A104" s="0" t="inlineStr">
        <is>
          <t xml:space="preserve">Jamaica</t>
        </is>
      </c>
      <c r="B104" s="2">
        <v>7400</v>
      </c>
      <c r="C104" s="2">
        <v>73.59</v>
      </c>
      <c r="D104" s="3">
        <f>$H$6*B104+$H$7</f>
        <v>66.11830725869636</v>
      </c>
      <c r="E104" s="3">
        <f>C104-D104</f>
        <v>7.471692741303642</v>
      </c>
    </row>
    <row r="105">
      <c r="A105" s="0" t="inlineStr">
        <is>
          <t xml:space="preserve">Japan</t>
        </is>
      </c>
      <c r="B105" s="2">
        <v>34200</v>
      </c>
      <c r="C105" s="2">
        <v>82.07</v>
      </c>
      <c r="D105" s="3">
        <f>$H$6*B105+$H$7</f>
        <v>75.32801228701899</v>
      </c>
      <c r="E105" s="3">
        <f>C105-D105</f>
        <v>6.741987712981</v>
      </c>
    </row>
    <row r="106">
      <c r="A106" s="0" t="inlineStr">
        <is>
          <t xml:space="preserve">Jersey</t>
        </is>
      </c>
      <c r="B106" s="2">
        <v>57000</v>
      </c>
      <c r="C106" s="2">
        <v>79.65</v>
      </c>
      <c r="D106" s="3">
        <f>$H$6*B106+$H$7</f>
        <v>83.16313447529345</v>
      </c>
      <c r="E106" s="3">
        <f>C106-D106</f>
        <v>-3.513134475293441</v>
      </c>
    </row>
    <row r="107">
      <c r="A107" s="0" t="inlineStr">
        <is>
          <t xml:space="preserve">Jordan</t>
        </is>
      </c>
      <c r="B107" s="2">
        <v>5000</v>
      </c>
      <c r="C107" s="2">
        <v>78.71</v>
      </c>
      <c r="D107" s="3">
        <f>$H$6*B107+$H$7</f>
        <v>65.29355755466747</v>
      </c>
      <c r="E107" s="3">
        <f>C107-D107</f>
        <v>13.416442445332521</v>
      </c>
    </row>
    <row r="108">
      <c r="A108" s="0" t="inlineStr">
        <is>
          <t xml:space="preserve">Kazakhstan</t>
        </is>
      </c>
      <c r="B108" s="2">
        <v>11500</v>
      </c>
      <c r="C108" s="2">
        <v>67.55</v>
      </c>
      <c r="D108" s="3">
        <f>$H$6*B108+$H$7</f>
        <v>67.52725466974572</v>
      </c>
      <c r="E108" s="3">
        <f>C108-D108</f>
        <v>0.02274533025428127</v>
      </c>
    </row>
    <row r="109">
      <c r="A109" s="0" t="inlineStr">
        <is>
          <t xml:space="preserve">Kenya</t>
        </is>
      </c>
      <c r="B109" s="2">
        <v>1600</v>
      </c>
      <c r="C109" s="2">
        <v>56.64</v>
      </c>
      <c r="D109" s="3">
        <f>$H$6*B109+$H$7</f>
        <v>64.12516214062654</v>
      </c>
      <c r="E109" s="3">
        <f>C109-D109</f>
        <v>-7.485162140626542</v>
      </c>
    </row>
    <row r="110">
      <c r="A110" s="0" t="inlineStr">
        <is>
          <t xml:space="preserve">Kiribati</t>
        </is>
      </c>
      <c r="B110" s="2">
        <v>3200</v>
      </c>
      <c r="C110" s="2">
        <v>62.85</v>
      </c>
      <c r="D110" s="3">
        <f>$H$6*B110+$H$7</f>
        <v>64.6749952766458</v>
      </c>
      <c r="E110" s="3">
        <f>C110-D110</f>
        <v>-1.8249952766458009</v>
      </c>
    </row>
    <row r="111">
      <c r="A111" s="0" t="inlineStr">
        <is>
          <t xml:space="preserve">Korea, North</t>
        </is>
      </c>
      <c r="B111" s="2">
        <v>1700</v>
      </c>
      <c r="C111" s="2">
        <v>72.2</v>
      </c>
      <c r="D111" s="3">
        <f>$H$6*B111+$H$7</f>
        <v>64.15952671162775</v>
      </c>
      <c r="E111" s="3">
        <f>C111-D111</f>
        <v>8.040473288372255</v>
      </c>
    </row>
    <row r="112">
      <c r="A112" s="0" t="inlineStr">
        <is>
          <t xml:space="preserve">Korea, South</t>
        </is>
      </c>
      <c r="B112" s="2">
        <v>26000</v>
      </c>
      <c r="C112" s="2">
        <v>77.42</v>
      </c>
      <c r="D112" s="3">
        <f>$H$6*B112+$H$7</f>
        <v>72.51011746492027</v>
      </c>
      <c r="E112" s="3">
        <f>C112-D112</f>
        <v>4.909882535079731</v>
      </c>
    </row>
    <row r="113">
      <c r="A113" s="0" t="inlineStr">
        <is>
          <t xml:space="preserve">Kosovo</t>
        </is>
      </c>
      <c r="B113" s="2">
        <v>2300</v>
      </c>
      <c r="C113" s="2">
        <v>64.77</v>
      </c>
      <c r="D113" s="3">
        <f>$H$6*B113+$H$7</f>
        <v>64.36571413763497</v>
      </c>
      <c r="E113" s="3">
        <f>C113-D113</f>
        <v>0.40428586236502895</v>
      </c>
    </row>
    <row r="114">
      <c r="A114" s="0" t="inlineStr">
        <is>
          <t xml:space="preserve">Kuwait</t>
        </is>
      </c>
      <c r="B114" s="2">
        <v>57400</v>
      </c>
      <c r="C114" s="2">
        <v>77.53</v>
      </c>
      <c r="D114" s="3">
        <f>$H$6*B114+$H$7</f>
        <v>83.30059275929827</v>
      </c>
      <c r="E114" s="3">
        <f>C114-D114</f>
        <v>-5.7705927592982675</v>
      </c>
    </row>
    <row r="115">
      <c r="A115" s="0" t="inlineStr">
        <is>
          <t xml:space="preserve">Kyrgyzstan</t>
        </is>
      </c>
      <c r="B115" s="2">
        <v>2100</v>
      </c>
      <c r="C115" s="2">
        <v>69.12</v>
      </c>
      <c r="D115" s="3">
        <f>$H$6*B115+$H$7</f>
        <v>64.29698499563257</v>
      </c>
      <c r="E115" s="3">
        <f>C115-D115</f>
        <v>4.823015004367434</v>
      </c>
    </row>
    <row r="116">
      <c r="A116" s="0" t="inlineStr">
        <is>
          <t xml:space="preserve">Laos</t>
        </is>
      </c>
      <c r="B116" s="2">
        <v>2100</v>
      </c>
      <c r="C116" s="2">
        <v>56.29</v>
      </c>
      <c r="D116" s="3">
        <f>$H$6*B116+$H$7</f>
        <v>64.29698499563257</v>
      </c>
      <c r="E116" s="3">
        <f>C116-D116</f>
        <v>-8.006984995632571</v>
      </c>
    </row>
    <row r="117">
      <c r="A117" s="0" t="inlineStr">
        <is>
          <t xml:space="preserve">Latvia</t>
        </is>
      </c>
      <c r="B117" s="2">
        <v>17800</v>
      </c>
      <c r="C117" s="2">
        <v>71.88</v>
      </c>
      <c r="D117" s="3">
        <f>$H$6*B117+$H$7</f>
        <v>69.69222264282156</v>
      </c>
      <c r="E117" s="3">
        <f>C117-D117</f>
        <v>2.187777357178433</v>
      </c>
    </row>
    <row r="118">
      <c r="A118" s="0" t="inlineStr">
        <is>
          <t xml:space="preserve">Lebanon</t>
        </is>
      </c>
      <c r="B118" s="2">
        <v>11100</v>
      </c>
      <c r="C118" s="2">
        <v>73.41</v>
      </c>
      <c r="D118" s="3">
        <f>$H$6*B118+$H$7</f>
        <v>67.38979638574091</v>
      </c>
      <c r="E118" s="3">
        <f>C118-D118</f>
        <v>6.0202036142590885</v>
      </c>
    </row>
    <row r="119">
      <c r="A119" s="0" t="inlineStr">
        <is>
          <t xml:space="preserve">Lesotho</t>
        </is>
      </c>
      <c r="B119" s="2">
        <v>1600</v>
      </c>
      <c r="C119" s="2">
        <v>40.17</v>
      </c>
      <c r="D119" s="3">
        <f>$H$6*B119+$H$7</f>
        <v>64.12516214062654</v>
      </c>
      <c r="E119" s="3">
        <f>C119-D119</f>
        <v>-23.95516214062654</v>
      </c>
    </row>
    <row r="120">
      <c r="A120" s="0" t="inlineStr">
        <is>
          <t xml:space="preserve">Liberia</t>
        </is>
      </c>
      <c r="B120" s="2">
        <v>500</v>
      </c>
      <c r="C120" s="2">
        <v>41.13</v>
      </c>
      <c r="D120" s="3">
        <f>$H$6*B120+$H$7</f>
        <v>63.747151859613304</v>
      </c>
      <c r="E120" s="3">
        <f>C120-D120</f>
        <v>-22.6171518596133</v>
      </c>
    </row>
    <row r="121">
      <c r="A121" s="0" t="inlineStr">
        <is>
          <t xml:space="preserve">Libya</t>
        </is>
      </c>
      <c r="B121" s="2">
        <v>14400</v>
      </c>
      <c r="C121" s="2">
        <v>77.07</v>
      </c>
      <c r="D121" s="3">
        <f>$H$6*B121+$H$7</f>
        <v>68.52382722878063</v>
      </c>
      <c r="E121" s="3">
        <f>C121-D121</f>
        <v>8.54617277121936</v>
      </c>
    </row>
    <row r="122">
      <c r="A122" s="0" t="inlineStr">
        <is>
          <t xml:space="preserve">Liechtenstein</t>
        </is>
      </c>
      <c r="B122" s="2">
        <v>118000</v>
      </c>
      <c r="C122" s="2">
        <v>79.95</v>
      </c>
      <c r="D122" s="3">
        <f>$H$6*B122+$H$7</f>
        <v>104.12552278602777</v>
      </c>
      <c r="E122" s="3">
        <f>C122-D122</f>
        <v>-24.17552278602777</v>
      </c>
    </row>
    <row r="123">
      <c r="A123" s="0" t="inlineStr">
        <is>
          <t xml:space="preserve">Lithuania</t>
        </is>
      </c>
      <c r="B123" s="2">
        <v>17700</v>
      </c>
      <c r="C123" s="2">
        <v>74.67</v>
      </c>
      <c r="D123" s="3">
        <f>$H$6*B123+$H$7</f>
        <v>69.65785807182036</v>
      </c>
      <c r="E123" s="3">
        <f>C123-D123</f>
        <v>5.012141928179645</v>
      </c>
    </row>
    <row r="124">
      <c r="A124" s="0" t="inlineStr">
        <is>
          <t xml:space="preserve">Luxembourg</t>
        </is>
      </c>
      <c r="B124" s="2">
        <v>81100</v>
      </c>
      <c r="C124" s="2">
        <v>79.18</v>
      </c>
      <c r="D124" s="3">
        <f>$H$6*B124+$H$7</f>
        <v>91.44499608658357</v>
      </c>
      <c r="E124" s="3">
        <f>C124-D124</f>
        <v>-12.264996086583565</v>
      </c>
    </row>
    <row r="125">
      <c r="A125" s="0" t="inlineStr">
        <is>
          <t xml:space="preserve">Macau</t>
        </is>
      </c>
      <c r="B125" s="2">
        <v>30000</v>
      </c>
      <c r="C125" s="2">
        <v>82.35</v>
      </c>
      <c r="D125" s="3">
        <f>$H$6*B125+$H$7</f>
        <v>73.88470030496842</v>
      </c>
      <c r="E125" s="3">
        <f>C125-D125</f>
        <v>8.465299695031575</v>
      </c>
    </row>
    <row r="126">
      <c r="A126" s="0" t="inlineStr">
        <is>
          <t xml:space="preserve">Macedonia</t>
        </is>
      </c>
      <c r="B126" s="2">
        <v>9000</v>
      </c>
      <c r="C126" s="2">
        <v>74.45</v>
      </c>
      <c r="D126" s="3">
        <f>$H$6*B126+$H$7</f>
        <v>66.66814039471562</v>
      </c>
      <c r="E126" s="3">
        <f>C126-D126</f>
        <v>7.781859605284382</v>
      </c>
    </row>
    <row r="127">
      <c r="A127" s="0" t="inlineStr">
        <is>
          <t xml:space="preserve">Madagascar</t>
        </is>
      </c>
      <c r="B127" s="2">
        <v>1000</v>
      </c>
      <c r="C127" s="2">
        <v>62.52</v>
      </c>
      <c r="D127" s="3">
        <f>$H$6*B127+$H$7</f>
        <v>63.918974714619324</v>
      </c>
      <c r="E127" s="3">
        <f>C127-D127</f>
        <v>-1.398974714619321</v>
      </c>
    </row>
    <row r="128">
      <c r="A128" s="0" t="inlineStr">
        <is>
          <t xml:space="preserve">Malawi</t>
        </is>
      </c>
      <c r="B128" s="2">
        <v>800</v>
      </c>
      <c r="C128" s="2">
        <v>43.45</v>
      </c>
      <c r="D128" s="3">
        <f>$H$6*B128+$H$7</f>
        <v>63.85024557261691</v>
      </c>
      <c r="E128" s="3">
        <f>C128-D128</f>
        <v>-20.40024557261691</v>
      </c>
    </row>
    <row r="129">
      <c r="A129" s="0" t="inlineStr">
        <is>
          <t xml:space="preserve">Malaysia</t>
        </is>
      </c>
      <c r="B129" s="2">
        <v>15300</v>
      </c>
      <c r="C129" s="2">
        <v>73.03</v>
      </c>
      <c r="D129" s="3">
        <f>$H$6*B129+$H$7</f>
        <v>68.83310836779147</v>
      </c>
      <c r="E129" s="3">
        <f>C129-D129</f>
        <v>4.1968916322085335</v>
      </c>
    </row>
    <row r="130">
      <c r="A130" s="0" t="inlineStr">
        <is>
          <t xml:space="preserve">Maldives</t>
        </is>
      </c>
      <c r="B130" s="2">
        <v>5000</v>
      </c>
      <c r="C130" s="2">
        <v>65.12</v>
      </c>
      <c r="D130" s="3">
        <f>$H$6*B130+$H$7</f>
        <v>65.29355755466747</v>
      </c>
      <c r="E130" s="3">
        <f>C130-D130</f>
        <v>-0.17355755466746814</v>
      </c>
    </row>
    <row r="131">
      <c r="A131" s="0" t="inlineStr">
        <is>
          <t xml:space="preserve">Mali</t>
        </is>
      </c>
      <c r="B131" s="2">
        <v>1200</v>
      </c>
      <c r="C131" s="2">
        <v>49.94</v>
      </c>
      <c r="D131" s="3">
        <f>$H$6*B131+$H$7</f>
        <v>63.98770385662173</v>
      </c>
      <c r="E131" s="3">
        <f>C131-D131</f>
        <v>-14.04770385662173</v>
      </c>
    </row>
    <row r="132">
      <c r="A132" s="0" t="inlineStr">
        <is>
          <t xml:space="preserve">Malta</t>
        </is>
      </c>
      <c r="B132" s="2">
        <v>24200</v>
      </c>
      <c r="C132" s="2">
        <v>79.3</v>
      </c>
      <c r="D132" s="3">
        <f>$H$6*B132+$H$7</f>
        <v>71.8915551868986</v>
      </c>
      <c r="E132" s="3">
        <f>C132-D132</f>
        <v>7.408444813101397</v>
      </c>
    </row>
    <row r="133">
      <c r="A133" s="0" t="inlineStr">
        <is>
          <t xml:space="preserve">Marshall Islands</t>
        </is>
      </c>
      <c r="B133" s="2">
        <v>2500</v>
      </c>
      <c r="C133" s="2">
        <v>70.9</v>
      </c>
      <c r="D133" s="3">
        <f>$H$6*B133+$H$7</f>
        <v>64.43444327963738</v>
      </c>
      <c r="E133" s="3">
        <f>C133-D133</f>
        <v>6.465556720362628</v>
      </c>
    </row>
    <row r="134">
      <c r="A134" s="0" t="inlineStr">
        <is>
          <t xml:space="preserve">Mauritania</t>
        </is>
      </c>
      <c r="B134" s="2">
        <v>2100</v>
      </c>
      <c r="C134" s="2">
        <v>53.91</v>
      </c>
      <c r="D134" s="3">
        <f>$H$6*B134+$H$7</f>
        <v>64.29698499563257</v>
      </c>
      <c r="E134" s="3">
        <f>C134-D134</f>
        <v>-10.386984995632574</v>
      </c>
    </row>
    <row r="135">
      <c r="A135" s="0" t="inlineStr">
        <is>
          <t xml:space="preserve">Mauritius</t>
        </is>
      </c>
      <c r="B135" s="2">
        <v>12100</v>
      </c>
      <c r="C135" s="2">
        <v>73.75</v>
      </c>
      <c r="D135" s="3">
        <f>$H$6*B135+$H$7</f>
        <v>67.73344209575295</v>
      </c>
      <c r="E135" s="3">
        <f>C135-D135</f>
        <v>6.016557904247051</v>
      </c>
    </row>
    <row r="136">
      <c r="A136" s="0" t="inlineStr">
        <is>
          <t xml:space="preserve">Mayotte</t>
        </is>
      </c>
      <c r="B136" s="2">
        <v>4900</v>
      </c>
      <c r="C136" s="2">
        <v>62.54</v>
      </c>
      <c r="D136" s="3">
        <f>$H$6*B136+$H$7</f>
        <v>65.25919298366627</v>
      </c>
      <c r="E136" s="3">
        <f>C136-D136</f>
        <v>-2.719192983666268</v>
      </c>
    </row>
    <row r="137">
      <c r="A137" s="0" t="inlineStr">
        <is>
          <t xml:space="preserve">Mexico</t>
        </is>
      </c>
      <c r="B137" s="2">
        <v>14200</v>
      </c>
      <c r="C137" s="2">
        <v>75.84</v>
      </c>
      <c r="D137" s="3">
        <f>$H$6*B137+$H$7</f>
        <v>68.45509808677822</v>
      </c>
      <c r="E137" s="3">
        <f>C137-D137</f>
        <v>7.384901913221782</v>
      </c>
    </row>
    <row r="138">
      <c r="A138" s="0" t="inlineStr">
        <is>
          <t xml:space="preserve">Micronesia</t>
        </is>
      </c>
      <c r="B138" s="2">
        <v>2200</v>
      </c>
      <c r="C138" s="2">
        <v>70.65</v>
      </c>
      <c r="D138" s="3">
        <f>$H$6*B138+$H$7</f>
        <v>64.33134956663376</v>
      </c>
      <c r="E138" s="3">
        <f>C138-D138</f>
        <v>6.318650433366244</v>
      </c>
    </row>
    <row r="139">
      <c r="A139" s="0" t="inlineStr">
        <is>
          <t xml:space="preserve">Moldova</t>
        </is>
      </c>
      <c r="B139" s="2">
        <v>2500</v>
      </c>
      <c r="C139" s="2">
        <v>70.5</v>
      </c>
      <c r="D139" s="3">
        <f>$H$6*B139+$H$7</f>
        <v>64.43444327963738</v>
      </c>
      <c r="E139" s="3">
        <f>C139-D139</f>
        <v>6.065556720362622</v>
      </c>
    </row>
    <row r="140">
      <c r="A140" s="0" t="inlineStr">
        <is>
          <t xml:space="preserve">Monaco</t>
        </is>
      </c>
      <c r="B140" s="2">
        <v>30000</v>
      </c>
      <c r="C140" s="2">
        <v>79.96</v>
      </c>
      <c r="D140" s="3">
        <f>$H$6*B140+$H$7</f>
        <v>73.88470030496842</v>
      </c>
      <c r="E140" s="3">
        <f>C140-D140</f>
        <v>6.075299695031575</v>
      </c>
    </row>
    <row r="141">
      <c r="A141" s="0" t="inlineStr">
        <is>
          <t xml:space="preserve">Mongolia</t>
        </is>
      </c>
      <c r="B141" s="2">
        <v>3200</v>
      </c>
      <c r="C141" s="2">
        <v>67.32</v>
      </c>
      <c r="D141" s="3">
        <f>$H$6*B141+$H$7</f>
        <v>64.6749952766458</v>
      </c>
      <c r="E141" s="3">
        <f>C141-D141</f>
        <v>2.645004723354191</v>
      </c>
    </row>
    <row r="142">
      <c r="A142" s="0" t="inlineStr">
        <is>
          <t xml:space="preserve">Montenegro</t>
        </is>
      </c>
      <c r="B142" s="2">
        <v>9700</v>
      </c>
      <c r="C142" s="2">
        <v>74.53</v>
      </c>
      <c r="D142" s="3">
        <f>$H$6*B142+$H$7</f>
        <v>66.90869239172406</v>
      </c>
      <c r="E142" s="3">
        <f>C142-D142</f>
        <v>7.6213076082759414</v>
      </c>
    </row>
    <row r="143">
      <c r="A143" s="0" t="inlineStr">
        <is>
          <t xml:space="preserve">Montserrat</t>
        </is>
      </c>
      <c r="B143" s="2">
        <v>3400</v>
      </c>
      <c r="C143" s="2">
        <v>79.15</v>
      </c>
      <c r="D143" s="3">
        <f>$H$6*B143+$H$7</f>
        <v>64.74372441864821</v>
      </c>
      <c r="E143" s="3">
        <f>C143-D143</f>
        <v>14.406275581351792</v>
      </c>
    </row>
    <row r="144">
      <c r="A144" s="0" t="inlineStr">
        <is>
          <t xml:space="preserve">Morocco</t>
        </is>
      </c>
      <c r="B144" s="2">
        <v>4000</v>
      </c>
      <c r="C144" s="2">
        <v>71.52</v>
      </c>
      <c r="D144" s="3">
        <f>$H$6*B144+$H$7</f>
        <v>64.94991184465543</v>
      </c>
      <c r="E144" s="3">
        <f>C144-D144</f>
        <v>6.570088155344564</v>
      </c>
    </row>
    <row r="145">
      <c r="A145" s="0" t="inlineStr">
        <is>
          <t xml:space="preserve">Mozambique</t>
        </is>
      </c>
      <c r="B145" s="2">
        <v>900</v>
      </c>
      <c r="C145" s="2">
        <v>41.04</v>
      </c>
      <c r="D145" s="3">
        <f>$H$6*B145+$H$7</f>
        <v>63.88461014361812</v>
      </c>
      <c r="E145" s="3">
        <f>C145-D145</f>
        <v>-22.84461014361812</v>
      </c>
    </row>
    <row r="146">
      <c r="A146" s="0" t="inlineStr">
        <is>
          <t xml:space="preserve">Namibia</t>
        </is>
      </c>
      <c r="B146" s="2">
        <v>5400</v>
      </c>
      <c r="C146" s="2">
        <v>49.89</v>
      </c>
      <c r="D146" s="3">
        <f>$H$6*B146+$H$7</f>
        <v>65.4310158386723</v>
      </c>
      <c r="E146" s="3">
        <f>C146-D146</f>
        <v>-15.541015838672294</v>
      </c>
    </row>
    <row r="147">
      <c r="A147" s="0" t="inlineStr">
        <is>
          <t xml:space="preserve">Nauru</t>
        </is>
      </c>
      <c r="B147" s="2">
        <v>5000</v>
      </c>
      <c r="C147" s="2">
        <v>63.81</v>
      </c>
      <c r="D147" s="3">
        <f>$H$6*B147+$H$7</f>
        <v>65.29355755466747</v>
      </c>
      <c r="E147" s="3">
        <f>C147-D147</f>
        <v>-1.4835575546674704</v>
      </c>
    </row>
    <row r="148">
      <c r="A148" s="0" t="inlineStr">
        <is>
          <t xml:space="preserve">Nepal</t>
        </is>
      </c>
      <c r="B148" s="2">
        <v>1100</v>
      </c>
      <c r="C148" s="2">
        <v>60.94</v>
      </c>
      <c r="D148" s="3">
        <f>$H$6*B148+$H$7</f>
        <v>63.95333928562052</v>
      </c>
      <c r="E148" s="3">
        <f>C148-D148</f>
        <v>-3.0133392856205248</v>
      </c>
    </row>
    <row r="149">
      <c r="A149" s="0" t="inlineStr">
        <is>
          <t xml:space="preserve">Netherlands</t>
        </is>
      </c>
      <c r="B149" s="2">
        <v>40300</v>
      </c>
      <c r="C149" s="2">
        <v>79.25</v>
      </c>
      <c r="D149" s="3">
        <f>$H$6*B149+$H$7</f>
        <v>77.42425111809241</v>
      </c>
      <c r="E149" s="3">
        <f>C149-D149</f>
        <v>1.825748881907586</v>
      </c>
    </row>
    <row r="150">
      <c r="A150" s="0" t="inlineStr">
        <is>
          <t xml:space="preserve">Netherlands Antilles</t>
        </is>
      </c>
      <c r="B150" s="2">
        <v>16000</v>
      </c>
      <c r="C150" s="2">
        <v>76.45</v>
      </c>
      <c r="D150" s="3">
        <f>$H$6*B150+$H$7</f>
        <v>69.07366036479989</v>
      </c>
      <c r="E150" s="3">
        <f>C150-D150</f>
        <v>7.376339635200111</v>
      </c>
    </row>
    <row r="151">
      <c r="A151" s="0" t="inlineStr">
        <is>
          <t xml:space="preserve">New Caledonia</t>
        </is>
      </c>
      <c r="B151" s="2">
        <v>15000</v>
      </c>
      <c r="C151" s="2">
        <v>74.75</v>
      </c>
      <c r="D151" s="3">
        <f>$H$6*B151+$H$7</f>
        <v>68.73001465478785</v>
      </c>
      <c r="E151" s="3">
        <f>C151-D151</f>
        <v>6.019985345212149</v>
      </c>
    </row>
    <row r="152">
      <c r="A152" s="0" t="inlineStr">
        <is>
          <t xml:space="preserve">New Zealand</t>
        </is>
      </c>
      <c r="B152" s="2">
        <v>27900</v>
      </c>
      <c r="C152" s="2">
        <v>80.24</v>
      </c>
      <c r="D152" s="3">
        <f>$H$6*B152+$H$7</f>
        <v>73.16304431394315</v>
      </c>
      <c r="E152" s="3">
        <f>C152-D152</f>
        <v>7.0769556860568485</v>
      </c>
    </row>
    <row r="153">
      <c r="A153" s="0" t="inlineStr">
        <is>
          <t xml:space="preserve">Nicaragua</t>
        </is>
      </c>
      <c r="B153" s="2">
        <v>2900</v>
      </c>
      <c r="C153" s="2">
        <v>71.21</v>
      </c>
      <c r="D153" s="3">
        <f>$H$6*B153+$H$7</f>
        <v>64.5719015636422</v>
      </c>
      <c r="E153" s="3">
        <f>C153-D153</f>
        <v>6.638098436357794</v>
      </c>
    </row>
    <row r="154">
      <c r="A154" s="0" t="inlineStr">
        <is>
          <t xml:space="preserve">Niger</t>
        </is>
      </c>
      <c r="B154" s="2">
        <v>700</v>
      </c>
      <c r="C154" s="2">
        <v>44.28</v>
      </c>
      <c r="D154" s="3">
        <f>$H$6*B154+$H$7</f>
        <v>63.81588100161571</v>
      </c>
      <c r="E154" s="3">
        <f>C154-D154</f>
        <v>-19.535881001615707</v>
      </c>
    </row>
    <row r="155">
      <c r="A155" s="0" t="inlineStr">
        <is>
          <t xml:space="preserve">Nigeria</t>
        </is>
      </c>
      <c r="B155" s="2">
        <v>2300</v>
      </c>
      <c r="C155" s="2">
        <v>47.81</v>
      </c>
      <c r="D155" s="3">
        <f>$H$6*B155+$H$7</f>
        <v>64.36571413763497</v>
      </c>
      <c r="E155" s="3">
        <f>C155-D155</f>
        <v>-16.555714137634965</v>
      </c>
    </row>
    <row r="156">
      <c r="A156" s="0" t="inlineStr">
        <is>
          <t xml:space="preserve">Niue</t>
        </is>
      </c>
      <c r="B156" s="2">
        <v>5800</v>
      </c>
      <c r="C156" s="2">
        <v>70.5</v>
      </c>
      <c r="D156" s="3">
        <f>$H$6*B156+$H$7</f>
        <v>65.5684741226771</v>
      </c>
      <c r="E156" s="3">
        <f>C156-D156</f>
        <v>4.931525877322898</v>
      </c>
    </row>
    <row r="157">
      <c r="A157" s="0" t="inlineStr">
        <is>
          <t xml:space="preserve">Northern Mariana Islands</t>
        </is>
      </c>
      <c r="B157" s="2">
        <v>12500</v>
      </c>
      <c r="C157" s="2">
        <v>76.5</v>
      </c>
      <c r="D157" s="3">
        <f>$H$6*B157+$H$7</f>
        <v>67.87090037975776</v>
      </c>
      <c r="E157" s="3">
        <f>C157-D157</f>
        <v>8.629099620242243</v>
      </c>
    </row>
    <row r="158">
      <c r="A158" s="0" t="inlineStr">
        <is>
          <t xml:space="preserve">Norway</t>
        </is>
      </c>
      <c r="B158" s="2">
        <v>55200</v>
      </c>
      <c r="C158" s="2">
        <v>79.81</v>
      </c>
      <c r="D158" s="3">
        <f>$H$6*B158+$H$7</f>
        <v>82.54457219727179</v>
      </c>
      <c r="E158" s="3">
        <f>C158-D158</f>
        <v>-2.7345721972717882</v>
      </c>
    </row>
    <row r="159">
      <c r="A159" s="0" t="inlineStr">
        <is>
          <t xml:space="preserve">Oman</t>
        </is>
      </c>
      <c r="B159" s="2">
        <v>20200</v>
      </c>
      <c r="C159" s="2">
        <v>73.91</v>
      </c>
      <c r="D159" s="3">
        <f>$H$6*B159+$H$7</f>
        <v>70.51697234685045</v>
      </c>
      <c r="E159" s="3">
        <f>C159-D159</f>
        <v>3.393027653149545</v>
      </c>
    </row>
    <row r="160">
      <c r="A160" s="0" t="inlineStr">
        <is>
          <t xml:space="preserve">Pakistan</t>
        </is>
      </c>
      <c r="B160" s="2">
        <v>2600</v>
      </c>
      <c r="C160" s="2">
        <v>64.13</v>
      </c>
      <c r="D160" s="3">
        <f>$H$6*B160+$H$7</f>
        <v>64.46880785063858</v>
      </c>
      <c r="E160" s="3">
        <f>C160-D160</f>
        <v>-0.3388078506385881</v>
      </c>
    </row>
    <row r="161">
      <c r="A161" s="0" t="inlineStr">
        <is>
          <t xml:space="preserve">Palau</t>
        </is>
      </c>
      <c r="B161" s="2">
        <v>8100</v>
      </c>
      <c r="C161" s="2">
        <v>71</v>
      </c>
      <c r="D161" s="3">
        <f>$H$6*B161+$H$7</f>
        <v>66.35885925570479</v>
      </c>
      <c r="E161" s="3">
        <f>C161-D161</f>
        <v>4.641140744295214</v>
      </c>
    </row>
    <row r="162">
      <c r="A162" s="0" t="inlineStr">
        <is>
          <t xml:space="preserve">Panama</t>
        </is>
      </c>
      <c r="B162" s="2">
        <v>11600</v>
      </c>
      <c r="C162" s="2">
        <v>75.17</v>
      </c>
      <c r="D162" s="3">
        <f>$H$6*B162+$H$7</f>
        <v>67.56161924074692</v>
      </c>
      <c r="E162" s="3">
        <f>C162-D162</f>
        <v>7.60838075925308</v>
      </c>
    </row>
    <row r="163">
      <c r="A163" s="0" t="inlineStr">
        <is>
          <t xml:space="preserve">Papua New Guinea</t>
        </is>
      </c>
      <c r="B163" s="2">
        <v>2200</v>
      </c>
      <c r="C163" s="2">
        <v>66</v>
      </c>
      <c r="D163" s="3">
        <f>$H$6*B163+$H$7</f>
        <v>64.33134956663376</v>
      </c>
      <c r="E163" s="3">
        <f>C163-D163</f>
        <v>1.6686504333662384</v>
      </c>
    </row>
    <row r="164">
      <c r="A164" s="0" t="inlineStr">
        <is>
          <t xml:space="preserve">Paraguay</t>
        </is>
      </c>
      <c r="B164" s="2">
        <v>4200</v>
      </c>
      <c r="C164" s="2">
        <v>75.56</v>
      </c>
      <c r="D164" s="3">
        <f>$H$6*B164+$H$7</f>
        <v>65.01864098665784</v>
      </c>
      <c r="E164" s="3">
        <f>C164-D164</f>
        <v>10.54135901334216</v>
      </c>
    </row>
    <row r="165">
      <c r="A165" s="0" t="inlineStr">
        <is>
          <t xml:space="preserve">Peru</t>
        </is>
      </c>
      <c r="B165" s="2">
        <v>8400</v>
      </c>
      <c r="C165" s="2">
        <v>70.44</v>
      </c>
      <c r="D165" s="3">
        <f>$H$6*B165+$H$7</f>
        <v>66.4619529687084</v>
      </c>
      <c r="E165" s="3">
        <f>C165-D165</f>
        <v>3.978047031291595</v>
      </c>
    </row>
    <row r="166">
      <c r="A166" s="0" t="inlineStr">
        <is>
          <t xml:space="preserve">Philippines</t>
        </is>
      </c>
      <c r="B166" s="2">
        <v>3300</v>
      </c>
      <c r="C166" s="2">
        <v>70.8</v>
      </c>
      <c r="D166" s="3">
        <f>$H$6*B166+$H$7</f>
        <v>64.70935984764701</v>
      </c>
      <c r="E166" s="3">
        <f>C166-D166</f>
        <v>6.090640152352989</v>
      </c>
    </row>
    <row r="167">
      <c r="A167" s="0" t="inlineStr">
        <is>
          <t xml:space="preserve">Poland</t>
        </is>
      </c>
      <c r="B167" s="2">
        <v>17300</v>
      </c>
      <c r="C167" s="2">
        <v>75.41</v>
      </c>
      <c r="D167" s="3">
        <f>$H$6*B167+$H$7</f>
        <v>69.52039978781555</v>
      </c>
      <c r="E167" s="3">
        <f>C167-D167</f>
        <v>5.8896002121844475</v>
      </c>
    </row>
    <row r="168">
      <c r="A168" s="0" t="inlineStr">
        <is>
          <t xml:space="preserve">Portugal</t>
        </is>
      </c>
      <c r="B168" s="2">
        <v>22000</v>
      </c>
      <c r="C168" s="2">
        <v>78.04</v>
      </c>
      <c r="D168" s="3">
        <f>$H$6*B168+$H$7</f>
        <v>71.13553462487212</v>
      </c>
      <c r="E168" s="3">
        <f>C168-D168</f>
        <v>6.904465375127884</v>
      </c>
    </row>
    <row r="169">
      <c r="A169" s="0" t="inlineStr">
        <is>
          <t xml:space="preserve">Puerto Rico</t>
        </is>
      </c>
      <c r="B169" s="2">
        <v>17800</v>
      </c>
      <c r="C169" s="2">
        <v>78.58</v>
      </c>
      <c r="D169" s="3">
        <f>$H$6*B169+$H$7</f>
        <v>69.69222264282156</v>
      </c>
      <c r="E169" s="3">
        <f>C169-D169</f>
        <v>8.887777357178436</v>
      </c>
    </row>
    <row r="170">
      <c r="A170" s="0" t="inlineStr">
        <is>
          <t xml:space="preserve">Qatar</t>
        </is>
      </c>
      <c r="B170" s="2">
        <v>103500</v>
      </c>
      <c r="C170" s="2">
        <v>74.38</v>
      </c>
      <c r="D170" s="3">
        <f>$H$6*B170+$H$7</f>
        <v>99.14265999085322</v>
      </c>
      <c r="E170" s="3">
        <f>C170-D170</f>
        <v>-24.762659990853223</v>
      </c>
    </row>
    <row r="171">
      <c r="A171" s="0" t="inlineStr">
        <is>
          <t xml:space="preserve">Romania</t>
        </is>
      </c>
      <c r="B171" s="2">
        <v>12200</v>
      </c>
      <c r="C171" s="2">
        <v>72.18</v>
      </c>
      <c r="D171" s="3">
        <f>$H$6*B171+$H$7</f>
        <v>67.76780666675415</v>
      </c>
      <c r="E171" s="3">
        <f>C171-D171</f>
        <v>4.4121933332458525</v>
      </c>
    </row>
    <row r="172">
      <c r="A172" s="0" t="inlineStr">
        <is>
          <t xml:space="preserve">Russia</t>
        </is>
      </c>
      <c r="B172" s="2">
        <v>15800</v>
      </c>
      <c r="C172" s="2">
        <v>65.94</v>
      </c>
      <c r="D172" s="3">
        <f>$H$6*B172+$H$7</f>
        <v>69.00493122279748</v>
      </c>
      <c r="E172" s="3">
        <f>C172-D172</f>
        <v>-3.064931222797483</v>
      </c>
    </row>
    <row r="173">
      <c r="A173" s="0" t="inlineStr">
        <is>
          <t xml:space="preserve">Rwanda</t>
        </is>
      </c>
      <c r="B173" s="2">
        <v>900</v>
      </c>
      <c r="C173" s="2">
        <v>49.76</v>
      </c>
      <c r="D173" s="3">
        <f>$H$6*B173+$H$7</f>
        <v>63.88461014361812</v>
      </c>
      <c r="E173" s="3">
        <f>C173-D173</f>
        <v>-14.12461014361812</v>
      </c>
    </row>
    <row r="174">
      <c r="A174" s="0" t="inlineStr">
        <is>
          <t xml:space="preserve">Saint Helena</t>
        </is>
      </c>
      <c r="B174" s="2">
        <v>2500</v>
      </c>
      <c r="C174" s="2">
        <v>78.27</v>
      </c>
      <c r="D174" s="3">
        <f>$H$6*B174+$H$7</f>
        <v>64.43444327963738</v>
      </c>
      <c r="E174" s="3">
        <f>C174-D174</f>
        <v>13.835556720362618</v>
      </c>
    </row>
    <row r="175">
      <c r="A175" s="0" t="inlineStr">
        <is>
          <t xml:space="preserve">Saint Kitts and Nevis</t>
        </is>
      </c>
      <c r="B175" s="2">
        <v>19700</v>
      </c>
      <c r="C175" s="2">
        <v>72.93</v>
      </c>
      <c r="D175" s="3">
        <f>$H$6*B175+$H$7</f>
        <v>70.34514949184444</v>
      </c>
      <c r="E175" s="3">
        <f>C175-D175</f>
        <v>2.5848505081555686</v>
      </c>
    </row>
    <row r="176">
      <c r="A176" s="0" t="inlineStr">
        <is>
          <t xml:space="preserve">Saint Lucia</t>
        </is>
      </c>
      <c r="B176" s="2">
        <v>11300</v>
      </c>
      <c r="C176" s="2">
        <v>74.32</v>
      </c>
      <c r="D176" s="3">
        <f>$H$6*B176+$H$7</f>
        <v>67.45852552774332</v>
      </c>
      <c r="E176" s="3">
        <f>C176-D176</f>
        <v>6.861474472256674</v>
      </c>
    </row>
    <row r="177">
      <c r="A177" s="0" t="inlineStr">
        <is>
          <t xml:space="preserve">Saint Pierre and Miquelon</t>
        </is>
      </c>
      <c r="B177" s="2">
        <v>7000</v>
      </c>
      <c r="C177" s="2">
        <v>78.91</v>
      </c>
      <c r="D177" s="3">
        <f>$H$6*B177+$H$7</f>
        <v>65.98084897469155</v>
      </c>
      <c r="E177" s="3">
        <f>C177-D177</f>
        <v>12.929151025308443</v>
      </c>
    </row>
    <row r="178">
      <c r="A178" s="0" t="inlineStr">
        <is>
          <t xml:space="preserve">Saint Vincent and the Grenadines</t>
        </is>
      </c>
      <c r="B178" s="2">
        <v>10500</v>
      </c>
      <c r="C178" s="2">
        <v>74.34</v>
      </c>
      <c r="D178" s="3">
        <f>$H$6*B178+$H$7</f>
        <v>67.18360895973369</v>
      </c>
      <c r="E178" s="3">
        <f>C178-D178</f>
        <v>7.156391040266314</v>
      </c>
    </row>
    <row r="179">
      <c r="A179" s="0" t="inlineStr">
        <is>
          <t xml:space="preserve">Samoa</t>
        </is>
      </c>
      <c r="B179" s="2">
        <v>4900</v>
      </c>
      <c r="C179" s="2">
        <v>71.58</v>
      </c>
      <c r="D179" s="3">
        <f>$H$6*B179+$H$7</f>
        <v>65.25919298366627</v>
      </c>
      <c r="E179" s="3">
        <f>C179-D179</f>
        <v>6.320807016333731</v>
      </c>
    </row>
    <row r="180">
      <c r="A180" s="0" t="inlineStr">
        <is>
          <t xml:space="preserve">San Marino</t>
        </is>
      </c>
      <c r="B180" s="2">
        <v>41900</v>
      </c>
      <c r="C180" s="2">
        <v>81.88</v>
      </c>
      <c r="D180" s="3">
        <f>$H$6*B180+$H$7</f>
        <v>77.97408425411169</v>
      </c>
      <c r="E180" s="3">
        <f>C180-D180</f>
        <v>3.905915745888308</v>
      </c>
    </row>
    <row r="181">
      <c r="A181" s="0" t="inlineStr">
        <is>
          <t xml:space="preserve">Sao Tome and Principe</t>
        </is>
      </c>
      <c r="B181" s="2">
        <v>1300</v>
      </c>
      <c r="C181" s="2">
        <v>68</v>
      </c>
      <c r="D181" s="3">
        <f>$H$6*B181+$H$7</f>
        <v>64.02206842762293</v>
      </c>
      <c r="E181" s="3">
        <f>C181-D181</f>
        <v>3.9779315723770736</v>
      </c>
    </row>
    <row r="182">
      <c r="A182" s="0" t="inlineStr">
        <is>
          <t xml:space="preserve">Saudi Arabia</t>
        </is>
      </c>
      <c r="B182" s="2">
        <v>20700</v>
      </c>
      <c r="C182" s="2">
        <v>76.09</v>
      </c>
      <c r="D182" s="3">
        <f>$H$6*B182+$H$7</f>
        <v>70.68879520185646</v>
      </c>
      <c r="E182" s="3">
        <f>C182-D182</f>
        <v>5.401204798143539</v>
      </c>
    </row>
    <row r="183">
      <c r="A183" s="0" t="inlineStr">
        <is>
          <t xml:space="preserve">Senegal</t>
        </is>
      </c>
      <c r="B183" s="2">
        <v>1600</v>
      </c>
      <c r="C183" s="2">
        <v>57.08</v>
      </c>
      <c r="D183" s="3">
        <f>$H$6*B183+$H$7</f>
        <v>64.12516214062654</v>
      </c>
      <c r="E183" s="3">
        <f>C183-D183</f>
        <v>-7.0451621406265446</v>
      </c>
    </row>
    <row r="184">
      <c r="A184" s="0" t="inlineStr">
        <is>
          <t xml:space="preserve">Serbia</t>
        </is>
      </c>
      <c r="B184" s="2">
        <v>10900</v>
      </c>
      <c r="C184" s="2">
        <v>75.29</v>
      </c>
      <c r="D184" s="3">
        <f>$H$6*B184+$H$7</f>
        <v>67.3210672437385</v>
      </c>
      <c r="E184" s="3">
        <f>C184-D184</f>
        <v>7.968932756261509</v>
      </c>
    </row>
    <row r="185">
      <c r="A185" s="0" t="inlineStr">
        <is>
          <t xml:space="preserve">Seychelles</t>
        </is>
      </c>
      <c r="B185" s="2">
        <v>17000</v>
      </c>
      <c r="C185" s="2">
        <v>72.6</v>
      </c>
      <c r="D185" s="3">
        <f>$H$6*B185+$H$7</f>
        <v>69.41730607481193</v>
      </c>
      <c r="E185" s="3">
        <f>C185-D185</f>
        <v>3.1826939251880617</v>
      </c>
    </row>
    <row r="186">
      <c r="A186" s="0" t="inlineStr">
        <is>
          <t xml:space="preserve">Sierra Leone</t>
        </is>
      </c>
      <c r="B186" s="2">
        <v>700</v>
      </c>
      <c r="C186" s="2">
        <v>40.93</v>
      </c>
      <c r="D186" s="3">
        <f>$H$6*B186+$H$7</f>
        <v>63.81588100161571</v>
      </c>
      <c r="E186" s="3">
        <f>C186-D186</f>
        <v>-22.885881001615708</v>
      </c>
    </row>
    <row r="187">
      <c r="A187" s="0" t="inlineStr">
        <is>
          <t xml:space="preserve">Singapore</t>
        </is>
      </c>
      <c r="B187" s="2">
        <v>52000</v>
      </c>
      <c r="C187" s="2">
        <v>81.89</v>
      </c>
      <c r="D187" s="3">
        <f>$H$6*B187+$H$7</f>
        <v>81.44490592523326</v>
      </c>
      <c r="E187" s="3">
        <f>C187-D187</f>
        <v>0.4450940747667431</v>
      </c>
    </row>
    <row r="188">
      <c r="A188" s="0" t="inlineStr">
        <is>
          <t xml:space="preserve">Slovakia</t>
        </is>
      </c>
      <c r="B188" s="2">
        <v>21900</v>
      </c>
      <c r="C188" s="2">
        <v>75.17</v>
      </c>
      <c r="D188" s="3">
        <f>$H$6*B188+$H$7</f>
        <v>71.10117005387092</v>
      </c>
      <c r="E188" s="3">
        <f>C188-D188</f>
        <v>4.068829946129085</v>
      </c>
    </row>
    <row r="189">
      <c r="A189" s="0" t="inlineStr">
        <is>
          <t xml:space="preserve">Slovenia</t>
        </is>
      </c>
      <c r="B189" s="2">
        <v>29500</v>
      </c>
      <c r="C189" s="2">
        <v>76.73</v>
      </c>
      <c r="D189" s="3">
        <f>$H$6*B189+$H$7</f>
        <v>73.7128774499624</v>
      </c>
      <c r="E189" s="3">
        <f>C189-D189</f>
        <v>3.017122550037598</v>
      </c>
    </row>
    <row r="190">
      <c r="A190" s="0" t="inlineStr">
        <is>
          <t xml:space="preserve">Solomon Islands</t>
        </is>
      </c>
      <c r="B190" s="2">
        <v>1900</v>
      </c>
      <c r="C190" s="2">
        <v>73.44</v>
      </c>
      <c r="D190" s="3">
        <f>$H$6*B190+$H$7</f>
        <v>64.22825585363016</v>
      </c>
      <c r="E190" s="3">
        <f>C190-D190</f>
        <v>9.211744146369838</v>
      </c>
    </row>
    <row r="191">
      <c r="A191" s="0" t="inlineStr">
        <is>
          <t xml:space="preserve">Somalia</t>
        </is>
      </c>
      <c r="B191" s="2">
        <v>600</v>
      </c>
      <c r="C191" s="2">
        <v>49.25</v>
      </c>
      <c r="D191" s="3">
        <f>$H$6*B191+$H$7</f>
        <v>63.78151643061451</v>
      </c>
      <c r="E191" s="3">
        <f>C191-D191</f>
        <v>-14.53151643061451</v>
      </c>
    </row>
    <row r="192">
      <c r="A192" s="0" t="inlineStr">
        <is>
          <t xml:space="preserve">South Africa</t>
        </is>
      </c>
      <c r="B192" s="2">
        <v>10000</v>
      </c>
      <c r="C192" s="2">
        <v>42.37</v>
      </c>
      <c r="D192" s="3">
        <f>$H$6*B192+$H$7</f>
        <v>67.01178610472766</v>
      </c>
      <c r="E192" s="3">
        <f>C192-D192</f>
        <v>-24.641786104727665</v>
      </c>
    </row>
    <row r="193">
      <c r="A193" s="0" t="inlineStr">
        <is>
          <t xml:space="preserve">Spain</t>
        </is>
      </c>
      <c r="B193" s="2">
        <v>34600</v>
      </c>
      <c r="C193" s="2">
        <v>79.92</v>
      </c>
      <c r="D193" s="3">
        <f>$H$6*B193+$H$7</f>
        <v>75.4654705710238</v>
      </c>
      <c r="E193" s="3">
        <f>C193-D193</f>
        <v>4.454529428976201</v>
      </c>
    </row>
    <row r="194">
      <c r="A194" s="0" t="inlineStr">
        <is>
          <t xml:space="preserve">Sri Lanka</t>
        </is>
      </c>
      <c r="B194" s="2">
        <v>4300</v>
      </c>
      <c r="C194" s="2">
        <v>74.97</v>
      </c>
      <c r="D194" s="3">
        <f>$H$6*B194+$H$7</f>
        <v>65.05300555765905</v>
      </c>
      <c r="E194" s="3">
        <f>C194-D194</f>
        <v>9.91699444234095</v>
      </c>
    </row>
    <row r="195">
      <c r="A195" s="0" t="inlineStr">
        <is>
          <t xml:space="preserve">Sudan</t>
        </is>
      </c>
      <c r="B195" s="2">
        <v>2200</v>
      </c>
      <c r="C195" s="2">
        <v>50.28</v>
      </c>
      <c r="D195" s="3">
        <f>$H$6*B195+$H$7</f>
        <v>64.33134956663376</v>
      </c>
      <c r="E195" s="3">
        <f>C195-D195</f>
        <v>-14.05134956663376</v>
      </c>
    </row>
    <row r="196">
      <c r="A196" s="0" t="inlineStr">
        <is>
          <t xml:space="preserve">Suriname</t>
        </is>
      </c>
      <c r="B196" s="2">
        <v>8900</v>
      </c>
      <c r="C196" s="2">
        <v>73.48</v>
      </c>
      <c r="D196" s="3">
        <f>$H$6*B196+$H$7</f>
        <v>66.63377582371442</v>
      </c>
      <c r="E196" s="3">
        <f>C196-D196</f>
        <v>6.846224176285588</v>
      </c>
    </row>
    <row r="197">
      <c r="A197" s="0" t="inlineStr">
        <is>
          <t xml:space="preserve">Swaziland</t>
        </is>
      </c>
      <c r="B197" s="2">
        <v>5100</v>
      </c>
      <c r="C197" s="2">
        <v>31.99</v>
      </c>
      <c r="D197" s="3">
        <f>$H$6*B197+$H$7</f>
        <v>65.32792212566868</v>
      </c>
      <c r="E197" s="3">
        <f>C197-D197</f>
        <v>-33.33792212566868</v>
      </c>
    </row>
    <row r="198">
      <c r="A198" s="0" t="inlineStr">
        <is>
          <t xml:space="preserve">Sweden</t>
        </is>
      </c>
      <c r="B198" s="2">
        <v>38500</v>
      </c>
      <c r="C198" s="2">
        <v>80.74</v>
      </c>
      <c r="D198" s="3">
        <f>$H$6*B198+$H$7</f>
        <v>76.80568884007076</v>
      </c>
      <c r="E198" s="3">
        <f>C198-D198</f>
        <v>3.934311159929237</v>
      </c>
    </row>
    <row r="199">
      <c r="A199" s="0" t="inlineStr">
        <is>
          <t xml:space="preserve">Switzerland</t>
        </is>
      </c>
      <c r="B199" s="2">
        <v>40900</v>
      </c>
      <c r="C199" s="2">
        <v>80.74</v>
      </c>
      <c r="D199" s="3">
        <f>$H$6*B199+$H$7</f>
        <v>77.63043854409965</v>
      </c>
      <c r="E199" s="3">
        <f>C199-D199</f>
        <v>3.109561455900348</v>
      </c>
    </row>
    <row r="200">
      <c r="A200" s="0" t="inlineStr">
        <is>
          <t xml:space="preserve">Syria</t>
        </is>
      </c>
      <c r="B200" s="2">
        <v>4800</v>
      </c>
      <c r="C200" s="2">
        <v>70.9</v>
      </c>
      <c r="D200" s="3">
        <f>$H$6*B200+$H$7</f>
        <v>65.22482841266506</v>
      </c>
      <c r="E200" s="3">
        <f>C200-D200</f>
        <v>5.675171587334944</v>
      </c>
    </row>
    <row r="201">
      <c r="A201" s="0" t="inlineStr">
        <is>
          <t xml:space="preserve">Taiwan</t>
        </is>
      </c>
      <c r="B201" s="2">
        <v>31900</v>
      </c>
      <c r="C201" s="2">
        <v>77.76</v>
      </c>
      <c r="D201" s="3">
        <f>$H$6*B201+$H$7</f>
        <v>74.5376271539913</v>
      </c>
      <c r="E201" s="3">
        <f>C201-D201</f>
        <v>3.22237284600871</v>
      </c>
    </row>
    <row r="202">
      <c r="A202" s="0" t="inlineStr">
        <is>
          <t xml:space="preserve">Tajikistan</t>
        </is>
      </c>
      <c r="B202" s="2">
        <v>2100</v>
      </c>
      <c r="C202" s="2">
        <v>64.97</v>
      </c>
      <c r="D202" s="3">
        <f>$H$6*B202+$H$7</f>
        <v>64.29698499563257</v>
      </c>
      <c r="E202" s="3">
        <f>C202-D202</f>
        <v>0.6730150043674286</v>
      </c>
    </row>
    <row r="203">
      <c r="A203" s="0" t="inlineStr">
        <is>
          <t xml:space="preserve">Tanzania</t>
        </is>
      </c>
      <c r="B203" s="2">
        <v>1300</v>
      </c>
      <c r="C203" s="2">
        <v>51.45</v>
      </c>
      <c r="D203" s="3">
        <f>$H$6*B203+$H$7</f>
        <v>64.02206842762293</v>
      </c>
      <c r="E203" s="3">
        <f>C203-D203</f>
        <v>-12.572068427622924</v>
      </c>
    </row>
    <row r="204">
      <c r="A204" s="0" t="inlineStr">
        <is>
          <t xml:space="preserve">Thailand</t>
        </is>
      </c>
      <c r="B204" s="2">
        <v>8500</v>
      </c>
      <c r="C204" s="2">
        <v>72.83</v>
      </c>
      <c r="D204" s="3">
        <f>$H$6*B204+$H$7</f>
        <v>66.49631753970961</v>
      </c>
      <c r="E204" s="3">
        <f>C204-D204</f>
        <v>6.33368246029039</v>
      </c>
    </row>
    <row r="205">
      <c r="A205" s="0" t="inlineStr">
        <is>
          <t xml:space="preserve">Timor-Leste</t>
        </is>
      </c>
      <c r="B205" s="2">
        <v>2400</v>
      </c>
      <c r="C205" s="2">
        <v>66.94</v>
      </c>
      <c r="D205" s="3">
        <f>$H$6*B205+$H$7</f>
        <v>64.40007870863617</v>
      </c>
      <c r="E205" s="3">
        <f>C205-D205</f>
        <v>2.539921291363825</v>
      </c>
    </row>
    <row r="206">
      <c r="A206" s="0" t="inlineStr">
        <is>
          <t xml:space="preserve">Togo</t>
        </is>
      </c>
      <c r="B206" s="2">
        <v>900</v>
      </c>
      <c r="C206" s="2">
        <v>58.28</v>
      </c>
      <c r="D206" s="3">
        <f>$H$6*B206+$H$7</f>
        <v>63.88461014361812</v>
      </c>
      <c r="E206" s="3">
        <f>C206-D206</f>
        <v>-5.6046101436181175</v>
      </c>
    </row>
    <row r="207">
      <c r="A207" s="0" t="inlineStr">
        <is>
          <t xml:space="preserve">Tokelau</t>
        </is>
      </c>
      <c r="B207" s="2">
        <v>1000</v>
      </c>
      <c r="C207" s="2">
        <v>64.77</v>
      </c>
      <c r="D207" s="3">
        <f>$H$6*B207+$H$7</f>
        <v>63.918974714619324</v>
      </c>
      <c r="E207" s="3">
        <f>C207-D207</f>
        <v>0.8510252853806719</v>
      </c>
    </row>
    <row r="208">
      <c r="A208" s="0" t="inlineStr">
        <is>
          <t xml:space="preserve">Tonga</t>
        </is>
      </c>
      <c r="B208" s="2">
        <v>4600</v>
      </c>
      <c r="C208" s="2">
        <v>70.44</v>
      </c>
      <c r="D208" s="3">
        <f>$H$6*B208+$H$7</f>
        <v>65.15609927066266</v>
      </c>
      <c r="E208" s="3">
        <f>C208-D208</f>
        <v>5.283900729337333</v>
      </c>
    </row>
    <row r="209">
      <c r="A209" s="0" t="inlineStr">
        <is>
          <t xml:space="preserve">Trinidad and Tobago</t>
        </is>
      </c>
      <c r="B209" s="2">
        <v>18600</v>
      </c>
      <c r="C209" s="2">
        <v>67</v>
      </c>
      <c r="D209" s="3">
        <f>$H$6*B209+$H$7</f>
        <v>69.96713921083119</v>
      </c>
      <c r="E209" s="3">
        <f>C209-D209</f>
        <v>-2.967139210831192</v>
      </c>
    </row>
    <row r="210">
      <c r="A210" s="0" t="inlineStr">
        <is>
          <t xml:space="preserve">Tunisia</t>
        </is>
      </c>
      <c r="B210" s="2">
        <v>7900</v>
      </c>
      <c r="C210" s="2">
        <v>75.56</v>
      </c>
      <c r="D210" s="3">
        <f>$H$6*B210+$H$7</f>
        <v>66.29013011370239</v>
      </c>
      <c r="E210" s="3">
        <f>C210-D210</f>
        <v>9.269869886297613</v>
      </c>
    </row>
    <row r="211">
      <c r="A211" s="0" t="inlineStr">
        <is>
          <t xml:space="preserve">Turkey</t>
        </is>
      </c>
      <c r="B211" s="2">
        <v>12000</v>
      </c>
      <c r="C211" s="2">
        <v>73.14</v>
      </c>
      <c r="D211" s="3">
        <f>$H$6*B211+$H$7</f>
        <v>67.69907752475174</v>
      </c>
      <c r="E211" s="3">
        <f>C211-D211</f>
        <v>5.440922475248257</v>
      </c>
    </row>
    <row r="212">
      <c r="A212" s="0" t="inlineStr">
        <is>
          <t xml:space="preserve">Turkmenistan</t>
        </is>
      </c>
      <c r="B212" s="2">
        <v>6100</v>
      </c>
      <c r="C212" s="2">
        <v>68.6</v>
      </c>
      <c r="D212" s="3">
        <f>$H$6*B212+$H$7</f>
        <v>65.67156783568072</v>
      </c>
      <c r="E212" s="3">
        <f>C212-D212</f>
        <v>2.9284321643192754</v>
      </c>
    </row>
    <row r="213">
      <c r="A213" s="0" t="inlineStr">
        <is>
          <t xml:space="preserve">Turks and Caicos Islands</t>
        </is>
      </c>
      <c r="B213" s="2">
        <v>11500</v>
      </c>
      <c r="C213" s="2">
        <v>75.19</v>
      </c>
      <c r="D213" s="3">
        <f>$H$6*B213+$H$7</f>
        <v>67.52725466974572</v>
      </c>
      <c r="E213" s="3">
        <f>C213-D213</f>
        <v>7.662745330254282</v>
      </c>
    </row>
    <row r="214">
      <c r="A214" s="0" t="inlineStr">
        <is>
          <t xml:space="preserve">Tuvalu</t>
        </is>
      </c>
      <c r="B214" s="2">
        <v>1600</v>
      </c>
      <c r="C214" s="2">
        <v>68.97</v>
      </c>
      <c r="D214" s="3">
        <f>$H$6*B214+$H$7</f>
        <v>64.12516214062654</v>
      </c>
      <c r="E214" s="3">
        <f>C214-D214</f>
        <v>4.844837859373456</v>
      </c>
    </row>
    <row r="215">
      <c r="A215" s="0" t="inlineStr">
        <is>
          <t xml:space="preserve">Uganda</t>
        </is>
      </c>
      <c r="B215" s="2">
        <v>1100</v>
      </c>
      <c r="C215" s="2">
        <v>52.34</v>
      </c>
      <c r="D215" s="3">
        <f>$H$6*B215+$H$7</f>
        <v>63.95333928562052</v>
      </c>
      <c r="E215" s="3">
        <f>C215-D215</f>
        <v>-11.613339285620519</v>
      </c>
    </row>
    <row r="216">
      <c r="A216" s="0" t="inlineStr">
        <is>
          <t xml:space="preserve">Ukraine</t>
        </is>
      </c>
      <c r="B216" s="2">
        <v>6900</v>
      </c>
      <c r="C216" s="2">
        <v>68.06</v>
      </c>
      <c r="D216" s="3">
        <f>$H$6*B216+$H$7</f>
        <v>65.94648440369035</v>
      </c>
      <c r="E216" s="3">
        <f>C216-D216</f>
        <v>2.1135155963096537</v>
      </c>
    </row>
    <row r="217">
      <c r="A217" s="0" t="inlineStr">
        <is>
          <t xml:space="preserve">United Arab Emirates</t>
        </is>
      </c>
      <c r="B217" s="2">
        <v>40000</v>
      </c>
      <c r="C217" s="2">
        <v>75.89</v>
      </c>
      <c r="D217" s="3">
        <f>$H$6*B217+$H$7</f>
        <v>77.32115740508881</v>
      </c>
      <c r="E217" s="3">
        <f>C217-D217</f>
        <v>-1.4311574050888112</v>
      </c>
    </row>
    <row r="218">
      <c r="A218" s="0" t="inlineStr">
        <is>
          <t xml:space="preserve">United Kingdom</t>
        </is>
      </c>
      <c r="B218" s="2">
        <v>36600</v>
      </c>
      <c r="C218" s="2">
        <v>78.85</v>
      </c>
      <c r="D218" s="3">
        <f>$H$6*B218+$H$7</f>
        <v>76.15276199104788</v>
      </c>
      <c r="E218" s="3">
        <f>C218-D218</f>
        <v>2.6972380089521124</v>
      </c>
    </row>
    <row r="219">
      <c r="A219" s="0" t="inlineStr">
        <is>
          <t xml:space="preserve">United States</t>
        </is>
      </c>
      <c r="B219" s="2">
        <v>47000</v>
      </c>
      <c r="C219" s="2">
        <v>78.14</v>
      </c>
      <c r="D219" s="3">
        <f>$H$6*B219+$H$7</f>
        <v>79.72667737517307</v>
      </c>
      <c r="E219" s="3">
        <f>C219-D219</f>
        <v>-1.5866773751730676</v>
      </c>
    </row>
    <row r="220">
      <c r="A220" s="0" t="inlineStr">
        <is>
          <t xml:space="preserve">Uruguay</t>
        </is>
      </c>
      <c r="B220" s="2">
        <v>12200</v>
      </c>
      <c r="C220" s="2">
        <v>76.14</v>
      </c>
      <c r="D220" s="3">
        <f>$H$6*B220+$H$7</f>
        <v>67.76780666675415</v>
      </c>
      <c r="E220" s="3">
        <f>C220-D220</f>
        <v>8.372193333245846</v>
      </c>
    </row>
    <row r="221">
      <c r="A221" s="0" t="inlineStr">
        <is>
          <t xml:space="preserve">Uzbekistan</t>
        </is>
      </c>
      <c r="B221" s="2">
        <v>2600</v>
      </c>
      <c r="C221" s="2">
        <v>65.38</v>
      </c>
      <c r="D221" s="3">
        <f>$H$6*B221+$H$7</f>
        <v>64.46880785063858</v>
      </c>
      <c r="E221" s="3">
        <f>C221-D221</f>
        <v>0.9111921493614119</v>
      </c>
    </row>
    <row r="222">
      <c r="A222" s="0" t="inlineStr">
        <is>
          <t xml:space="preserve">Vanuatu</t>
        </is>
      </c>
      <c r="B222" s="2">
        <v>4600</v>
      </c>
      <c r="C222" s="2">
        <v>63.61</v>
      </c>
      <c r="D222" s="3">
        <f>$H$6*B222+$H$7</f>
        <v>65.15609927066266</v>
      </c>
      <c r="E222" s="3">
        <f>C222-D222</f>
        <v>-1.5460992706626655</v>
      </c>
    </row>
    <row r="223">
      <c r="A223" s="0" t="inlineStr">
        <is>
          <t xml:space="preserve">Venezuela</t>
        </is>
      </c>
      <c r="B223" s="2">
        <v>13500</v>
      </c>
      <c r="C223" s="2">
        <v>73.45</v>
      </c>
      <c r="D223" s="3">
        <f>$H$6*B223+$H$7</f>
        <v>68.2145460897698</v>
      </c>
      <c r="E223" s="3">
        <f>C223-D223</f>
        <v>5.235453910230206</v>
      </c>
    </row>
    <row r="224">
      <c r="A224" s="0" t="inlineStr">
        <is>
          <t xml:space="preserve">Vietnam</t>
        </is>
      </c>
      <c r="B224" s="2">
        <v>2800</v>
      </c>
      <c r="C224" s="2">
        <v>71.33</v>
      </c>
      <c r="D224" s="3">
        <f>$H$6*B224+$H$7</f>
        <v>64.537536992641</v>
      </c>
      <c r="E224" s="3">
        <f>C224-D224</f>
        <v>6.792463007359004</v>
      </c>
    </row>
    <row r="225">
      <c r="A225" s="0" t="inlineStr">
        <is>
          <t xml:space="preserve">Virgin Islands</t>
        </is>
      </c>
      <c r="B225" s="2">
        <v>14500</v>
      </c>
      <c r="C225" s="2">
        <v>79.34</v>
      </c>
      <c r="D225" s="3">
        <f>$H$6*B225+$H$7</f>
        <v>68.55819179978184</v>
      </c>
      <c r="E225" s="3">
        <f>C225-D225</f>
        <v>10.781808200218165</v>
      </c>
    </row>
    <row r="226">
      <c r="A226" s="0" t="inlineStr">
        <is>
          <t xml:space="preserve">Wallis and Futuna</t>
        </is>
      </c>
      <c r="B226" s="2">
        <v>3800</v>
      </c>
      <c r="C226" s="2">
        <v>66.07</v>
      </c>
      <c r="D226" s="3">
        <f>$H$6*B226+$H$7</f>
        <v>64.88118270265304</v>
      </c>
      <c r="E226" s="3">
        <f>C226-D226</f>
        <v>1.188817297346958</v>
      </c>
    </row>
    <row r="227">
      <c r="A227" s="0" t="inlineStr">
        <is>
          <t xml:space="preserve">Western Sahara</t>
        </is>
      </c>
      <c r="B227" s="2">
        <v>2500</v>
      </c>
      <c r="C227" s="2">
        <v>53.92</v>
      </c>
      <c r="D227" s="3">
        <f>$H$6*B227+$H$7</f>
        <v>64.43444327963738</v>
      </c>
      <c r="E227" s="3">
        <f>C227-D227</f>
        <v>-10.514443279637376</v>
      </c>
    </row>
    <row r="228">
      <c r="A228" s="0" t="inlineStr">
        <is>
          <t xml:space="preserve">Yemen</t>
        </is>
      </c>
      <c r="B228" s="2">
        <v>2400</v>
      </c>
      <c r="C228" s="2">
        <v>62.9</v>
      </c>
      <c r="D228" s="3">
        <f>$H$6*B228+$H$7</f>
        <v>64.40007870863617</v>
      </c>
      <c r="E228" s="3">
        <f>C228-D228</f>
        <v>-1.500078708636174</v>
      </c>
    </row>
    <row r="229">
      <c r="A229" s="0" t="inlineStr">
        <is>
          <t xml:space="preserve">Zambia</t>
        </is>
      </c>
      <c r="B229" s="2">
        <v>1500</v>
      </c>
      <c r="C229" s="2">
        <v>38.59</v>
      </c>
      <c r="D229" s="3">
        <f>$H$6*B229+$H$7</f>
        <v>64.09079756962534</v>
      </c>
      <c r="E229" s="3">
        <f>C229-D229</f>
        <v>-25.500797569625334</v>
      </c>
    </row>
    <row r="230">
      <c r="A230" s="0" t="inlineStr">
        <is>
          <t xml:space="preserve">Zimbabwe</t>
        </is>
      </c>
      <c r="B230" s="2">
        <v>200</v>
      </c>
      <c r="C230" s="2">
        <v>39.73</v>
      </c>
      <c r="D230" s="3">
        <f>$H$6*B230+$H$7</f>
        <v>63.644058146609694</v>
      </c>
      <c r="E230" s="3">
        <f>C230-D230</f>
        <v>-23.914058146609698</v>
      </c>
    </row>
  </sheetData>
  <pageMargins left="0.4" right="0.4" top="0.5" bottom="0.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24" customWidth="1"/>
    <col min="2" max="2" width="20" customWidth="1"/>
    <col min="3" max="3" width="24" customWidth="1"/>
    <col min="4" max="4" width="20" customWidth="1"/>
    <col min="5" max="5" width="18" customWidth="1"/>
    <col min="7" max="7" width="22" customWidth="1"/>
    <col min="8" max="8" width="20" customWidth="1"/>
  </cols>
  <sheetData>
    <row r="1">
      <c r="A1" s="1" t="inlineStr">
        <is>
          <t xml:space="preserve">Reg Salud</t>
        </is>
      </c>
    </row>
    <row r="2">
      <c r="A2" s="0" t="inlineStr">
        <is>
          <t xml:space="preserve">Edita X e Y en azul. Gráfico XY nativo con tendencia lineal. Fórmulas se recalculan al abrir.</t>
        </is>
      </c>
    </row>
    <row r="4">
      <c r="A4" s="1" t="inlineStr">
        <is>
          <t xml:space="preserve">Registro</t>
        </is>
      </c>
      <c r="B4" s="1" t="inlineStr">
        <is>
          <t xml:space="preserve">Administrativos activos</t>
        </is>
      </c>
      <c r="C4" s="1" t="inlineStr">
        <is>
          <t xml:space="preserve">Espera (min)</t>
        </is>
      </c>
      <c r="D4" s="1" t="inlineStr">
        <is>
          <t xml:space="preserve">Y estimada</t>
        </is>
      </c>
      <c r="E4" s="1" t="inlineStr">
        <is>
          <t xml:space="preserve">Residuo</t>
        </is>
      </c>
      <c r="F4" s="1" t="inlineStr">
        <is>
          <t xml:space="preserve"/>
        </is>
      </c>
      <c r="G4" s="1" t="inlineStr">
        <is>
          <t xml:space="preserve">Indicador</t>
        </is>
      </c>
      <c r="H4" s="1" t="inlineStr">
        <is>
          <t xml:space="preserve">Valor</t>
        </is>
      </c>
    </row>
    <row r="5">
      <c r="A5" s="0" t="inlineStr">
        <is>
          <t xml:space="preserve">Jornada 1</t>
        </is>
      </c>
      <c r="B5" s="2">
        <v>1</v>
      </c>
      <c r="C5" s="2">
        <v>72</v>
      </c>
      <c r="D5" s="3">
        <f>$H$6*B5+$H$7</f>
        <v>71.90476190476191</v>
      </c>
      <c r="E5" s="3">
        <f>C5-D5</f>
        <v>0.0952380952380878</v>
      </c>
      <c r="G5" s="0" t="inlineStr">
        <is>
          <t xml:space="preserve">r</t>
        </is>
      </c>
      <c r="H5" s="3">
        <f>CORREL(B5:B10,C5:C10)</f>
        <v>-0.996232919413529</v>
      </c>
    </row>
    <row r="6">
      <c r="A6" s="0" t="inlineStr">
        <is>
          <t xml:space="preserve">Jornada 2</t>
        </is>
      </c>
      <c r="B6" s="2">
        <v>2</v>
      </c>
      <c r="C6" s="2">
        <v>65</v>
      </c>
      <c r="D6" s="3">
        <f>$H$6*B6+$H$7</f>
        <v>65.87619047619049</v>
      </c>
      <c r="E6" s="3">
        <f>C6-D6</f>
        <v>-0.8761904761904873</v>
      </c>
      <c r="G6" s="0" t="inlineStr">
        <is>
          <t xml:space="preserve">Pendiente m</t>
        </is>
      </c>
      <c r="H6" s="3">
        <f>SLOPE(C5:C10,B5:B10)</f>
        <v>-6.0285714285714285</v>
      </c>
    </row>
    <row r="7">
      <c r="A7" s="0" t="inlineStr">
        <is>
          <t xml:space="preserve">Jornada 3</t>
        </is>
      </c>
      <c r="B7" s="2">
        <v>3</v>
      </c>
      <c r="C7" s="2">
        <v>61</v>
      </c>
      <c r="D7" s="3">
        <f>$H$6*B7+$H$7</f>
        <v>59.84761904761905</v>
      </c>
      <c r="E7" s="3">
        <f>C7-D7</f>
        <v>1.1523809523809518</v>
      </c>
      <c r="G7" s="0" t="inlineStr">
        <is>
          <t xml:space="preserve">Intercepto b</t>
        </is>
      </c>
      <c r="H7" s="3">
        <f>INTERCEPT(C5:C10,B5:B10)</f>
        <v>77.93333333333334</v>
      </c>
    </row>
    <row r="8">
      <c r="A8" s="0" t="inlineStr">
        <is>
          <t xml:space="preserve">Jornada 4</t>
        </is>
      </c>
      <c r="B8" s="2">
        <v>4</v>
      </c>
      <c r="C8" s="2">
        <v>53</v>
      </c>
      <c r="D8" s="3">
        <f>$H$6*B8+$H$7</f>
        <v>53.81904761904762</v>
      </c>
      <c r="E8" s="3">
        <f>C8-D8</f>
        <v>-0.8190476190476232</v>
      </c>
      <c r="G8" s="0" t="inlineStr">
        <is>
          <t xml:space="preserve">R²</t>
        </is>
      </c>
      <c r="H8" s="3">
        <f>RSQ(C5:C10,B5:B10)</f>
        <v>0.9924800297232029</v>
      </c>
    </row>
    <row r="9">
      <c r="A9" s="0" t="inlineStr">
        <is>
          <t xml:space="preserve">Jornada 5</t>
        </is>
      </c>
      <c r="B9" s="2">
        <v>5</v>
      </c>
      <c r="C9" s="2">
        <v>49</v>
      </c>
      <c r="D9" s="3">
        <f>$H$6*B9+$H$7</f>
        <v>47.7904761904762</v>
      </c>
      <c r="E9" s="3">
        <f>C9-D9</f>
        <v>1.2095238095238017</v>
      </c>
      <c r="G9" s="0" t="inlineStr">
        <is>
          <t xml:space="preserve">X para predecir</t>
        </is>
      </c>
      <c r="H9" s="2">
        <v>1</v>
      </c>
    </row>
    <row r="10">
      <c r="A10" s="0" t="inlineStr">
        <is>
          <t xml:space="preserve">Jornada 6</t>
        </is>
      </c>
      <c r="B10" s="2">
        <v>6</v>
      </c>
      <c r="C10" s="2">
        <v>41</v>
      </c>
      <c r="D10" s="3">
        <f>$H$6*B10+$H$7</f>
        <v>41.761904761904766</v>
      </c>
      <c r="E10" s="3">
        <f>C10-D10</f>
        <v>-0.7619047619047663</v>
      </c>
      <c r="G10" s="0" t="inlineStr">
        <is>
          <t xml:space="preserve">Y predicha</t>
        </is>
      </c>
      <c r="H10" s="3">
        <f>H6*H9+H7</f>
        <v>71.90476190476191</v>
      </c>
    </row>
  </sheetData>
  <pageMargins left="0.4" right="0.4" top="0.5" bottom="0.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24" customWidth="1"/>
    <col min="2" max="2" width="20" customWidth="1"/>
    <col min="3" max="3" width="24" customWidth="1"/>
    <col min="4" max="4" width="20" customWidth="1"/>
    <col min="5" max="5" width="18" customWidth="1"/>
    <col min="7" max="7" width="22" customWidth="1"/>
    <col min="8" max="8" width="20" customWidth="1"/>
  </cols>
  <sheetData>
    <row r="1">
      <c r="A1" s="1" t="inlineStr">
        <is>
          <t xml:space="preserve">Reg Gaseosas</t>
        </is>
      </c>
    </row>
    <row r="2">
      <c r="A2" s="0" t="inlineStr">
        <is>
          <t xml:space="preserve">Edita X e Y en azul. Gráfico XY nativo con tendencia lineal. Fórmulas se recalculan al abrir.</t>
        </is>
      </c>
    </row>
    <row r="4">
      <c r="A4" s="1" t="inlineStr">
        <is>
          <t xml:space="preserve">Registro</t>
        </is>
      </c>
      <c r="B4" s="1" t="inlineStr">
        <is>
          <t xml:space="preserve">Temperatura (°C)</t>
        </is>
      </c>
      <c r="C4" s="1" t="inlineStr">
        <is>
          <t xml:space="preserve">Ventas por hora</t>
        </is>
      </c>
      <c r="D4" s="1" t="inlineStr">
        <is>
          <t xml:space="preserve">Y estimada</t>
        </is>
      </c>
      <c r="E4" s="1" t="inlineStr">
        <is>
          <t xml:space="preserve">Residuo</t>
        </is>
      </c>
      <c r="F4" s="1" t="inlineStr">
        <is>
          <t xml:space="preserve"/>
        </is>
      </c>
      <c r="G4" s="1" t="inlineStr">
        <is>
          <t xml:space="preserve">Indicador</t>
        </is>
      </c>
      <c r="H4" s="1" t="inlineStr">
        <is>
          <t xml:space="preserve">Valor</t>
        </is>
      </c>
    </row>
    <row r="5">
      <c r="A5" s="0" t="inlineStr">
        <is>
          <t xml:space="preserve">Temperatura 0</t>
        </is>
      </c>
      <c r="B5" s="2">
        <v>0</v>
      </c>
      <c r="C5" s="2">
        <v>0</v>
      </c>
      <c r="D5" s="3">
        <f>$H$6*B5+$H$7</f>
        <v>0.5571428571428569</v>
      </c>
      <c r="E5" s="3">
        <f>C5-D5</f>
        <v>-0.5571428571428569</v>
      </c>
      <c r="G5" s="0" t="inlineStr">
        <is>
          <t xml:space="preserve">r</t>
        </is>
      </c>
      <c r="H5" s="3">
        <f>CORREL(B5:B24,C5:C24)</f>
        <v>0.9690562306796259</v>
      </c>
    </row>
    <row r="6">
      <c r="A6" s="0" t="inlineStr">
        <is>
          <t xml:space="preserve">Temperatura 1</t>
        </is>
      </c>
      <c r="B6" s="2">
        <v>1</v>
      </c>
      <c r="C6" s="2">
        <v>3</v>
      </c>
      <c r="D6" s="3">
        <f>$H$6*B6+$H$7</f>
        <v>2.5248120300751875</v>
      </c>
      <c r="E6" s="3">
        <f>C6-D6</f>
        <v>0.4751879699248125</v>
      </c>
      <c r="G6" s="0" t="inlineStr">
        <is>
          <t xml:space="preserve">Pendiente m</t>
        </is>
      </c>
      <c r="H6" s="3">
        <f>SLOPE(C5:C24,B5:B24)</f>
        <v>1.9676691729323308</v>
      </c>
    </row>
    <row r="7">
      <c r="A7" s="0" t="inlineStr">
        <is>
          <t xml:space="preserve">Temperatura 2</t>
        </is>
      </c>
      <c r="B7" s="2">
        <v>2</v>
      </c>
      <c r="C7" s="2">
        <v>5</v>
      </c>
      <c r="D7" s="3">
        <f>$H$6*B7+$H$7</f>
        <v>4.492481203007518</v>
      </c>
      <c r="E7" s="3">
        <f>C7-D7</f>
        <v>0.5075187969924819</v>
      </c>
      <c r="G7" s="0" t="inlineStr">
        <is>
          <t xml:space="preserve">Intercepto b</t>
        </is>
      </c>
      <c r="H7" s="3">
        <f>INTERCEPT(C5:C24,B5:B24)</f>
        <v>0.5571428571428569</v>
      </c>
    </row>
    <row r="8">
      <c r="A8" s="0" t="inlineStr">
        <is>
          <t xml:space="preserve">Temperatura 3</t>
        </is>
      </c>
      <c r="B8" s="2">
        <v>3</v>
      </c>
      <c r="C8" s="2">
        <v>6</v>
      </c>
      <c r="D8" s="3">
        <f>$H$6*B8+$H$7</f>
        <v>6.4601503759398495</v>
      </c>
      <c r="E8" s="3">
        <f>C8-D8</f>
        <v>-0.46015037593984953</v>
      </c>
      <c r="G8" s="0" t="inlineStr">
        <is>
          <t xml:space="preserve">R²</t>
        </is>
      </c>
      <c r="H8" s="3">
        <f>RSQ(C5:C24,B5:B24)</f>
        <v>0.9390699782190043</v>
      </c>
    </row>
    <row r="9">
      <c r="A9" s="0" t="inlineStr">
        <is>
          <t xml:space="preserve">Temperatura 4</t>
        </is>
      </c>
      <c r="B9" s="2">
        <v>4</v>
      </c>
      <c r="C9" s="2">
        <v>9</v>
      </c>
      <c r="D9" s="3">
        <f>$H$6*B9+$H$7</f>
        <v>8.42781954887218</v>
      </c>
      <c r="E9" s="3">
        <f>C9-D9</f>
        <v>0.5721804511278208</v>
      </c>
      <c r="G9" s="0" t="inlineStr">
        <is>
          <t xml:space="preserve">X para predecir</t>
        </is>
      </c>
      <c r="H9" s="2">
        <v>0</v>
      </c>
    </row>
    <row r="10">
      <c r="A10" s="0" t="inlineStr">
        <is>
          <t xml:space="preserve">Temperatura 5</t>
        </is>
      </c>
      <c r="B10" s="2">
        <v>5</v>
      </c>
      <c r="C10" s="2">
        <v>12</v>
      </c>
      <c r="D10" s="3">
        <f>$H$6*B10+$H$7</f>
        <v>10.395488721804512</v>
      </c>
      <c r="E10" s="3">
        <f>C10-D10</f>
        <v>1.6045112781954884</v>
      </c>
      <c r="G10" s="0" t="inlineStr">
        <is>
          <t xml:space="preserve">Y predicha</t>
        </is>
      </c>
      <c r="H10" s="3">
        <f>H6*H9+H7</f>
        <v>0.5571428571428569</v>
      </c>
    </row>
    <row r="11">
      <c r="A11" s="0" t="inlineStr">
        <is>
          <t xml:space="preserve">Temperatura 6</t>
        </is>
      </c>
      <c r="B11" s="2">
        <v>6</v>
      </c>
      <c r="C11" s="2">
        <v>11</v>
      </c>
      <c r="D11" s="3">
        <f>$H$6*B11+$H$7</f>
        <v>12.363157894736842</v>
      </c>
      <c r="E11" s="3">
        <f>C11-D11</f>
        <v>-1.3631578947368421</v>
      </c>
    </row>
    <row r="12">
      <c r="A12" s="0" t="inlineStr">
        <is>
          <t xml:space="preserve">Temperatura 7</t>
        </is>
      </c>
      <c r="B12" s="2">
        <v>7</v>
      </c>
      <c r="C12" s="2">
        <v>13</v>
      </c>
      <c r="D12" s="3">
        <f>$H$6*B12+$H$7</f>
        <v>14.330827067669173</v>
      </c>
      <c r="E12" s="3">
        <f>C12-D12</f>
        <v>-1.3308270676691727</v>
      </c>
    </row>
    <row r="13">
      <c r="A13" s="0" t="inlineStr">
        <is>
          <t xml:space="preserve">Temperatura 8</t>
        </is>
      </c>
      <c r="B13" s="2">
        <v>8</v>
      </c>
      <c r="C13" s="2">
        <v>17</v>
      </c>
      <c r="D13" s="3">
        <f>$H$6*B13+$H$7</f>
        <v>16.2984962406015</v>
      </c>
      <c r="E13" s="3">
        <f>C13-D13</f>
        <v>0.7015037593984985</v>
      </c>
    </row>
    <row r="14">
      <c r="A14" s="0" t="inlineStr">
        <is>
          <t xml:space="preserve">Temperatura 9</t>
        </is>
      </c>
      <c r="B14" s="2">
        <v>9</v>
      </c>
      <c r="C14" s="2">
        <v>15</v>
      </c>
      <c r="D14" s="3">
        <f>$H$6*B14+$H$7</f>
        <v>18.266165413533834</v>
      </c>
      <c r="E14" s="3">
        <f>C14-D14</f>
        <v>-3.266165413533834</v>
      </c>
    </row>
    <row r="15">
      <c r="A15" s="0" t="inlineStr">
        <is>
          <t xml:space="preserve">Temperatura 10</t>
        </is>
      </c>
      <c r="B15" s="2">
        <v>10</v>
      </c>
      <c r="C15" s="2">
        <v>23</v>
      </c>
      <c r="D15" s="3">
        <f>$H$6*B15+$H$7</f>
        <v>20.233834586466166</v>
      </c>
      <c r="E15" s="3">
        <f>C15-D15</f>
        <v>2.766165413533834</v>
      </c>
    </row>
    <row r="16">
      <c r="A16" s="0" t="inlineStr">
        <is>
          <t xml:space="preserve">Temperatura 11</t>
        </is>
      </c>
      <c r="B16" s="2">
        <v>11</v>
      </c>
      <c r="C16" s="2">
        <v>19</v>
      </c>
      <c r="D16" s="3">
        <f>$H$6*B16+$H$7</f>
        <v>22.201503759398495</v>
      </c>
      <c r="E16" s="3">
        <f>C16-D16</f>
        <v>-3.201503759398495</v>
      </c>
    </row>
    <row r="17">
      <c r="A17" s="0" t="inlineStr">
        <is>
          <t xml:space="preserve">Temperatura 12</t>
        </is>
      </c>
      <c r="B17" s="2">
        <v>12</v>
      </c>
      <c r="C17" s="2">
        <v>20</v>
      </c>
      <c r="D17" s="3">
        <f>$H$6*B17+$H$7</f>
        <v>24.169172932330827</v>
      </c>
      <c r="E17" s="3">
        <f>C17-D17</f>
        <v>-4.169172932330827</v>
      </c>
    </row>
    <row r="18">
      <c r="A18" s="0" t="inlineStr">
        <is>
          <t xml:space="preserve">Temperatura 13</t>
        </is>
      </c>
      <c r="B18" s="2">
        <v>13</v>
      </c>
      <c r="C18" s="2">
        <v>29</v>
      </c>
      <c r="D18" s="3">
        <f>$H$6*B18+$H$7</f>
        <v>26.136842105263156</v>
      </c>
      <c r="E18" s="3">
        <f>C18-D18</f>
        <v>2.863157894736844</v>
      </c>
    </row>
    <row r="19">
      <c r="A19" s="0" t="inlineStr">
        <is>
          <t xml:space="preserve">Temperatura 14</t>
        </is>
      </c>
      <c r="B19" s="2">
        <v>14</v>
      </c>
      <c r="C19" s="2">
        <v>32</v>
      </c>
      <c r="D19" s="3">
        <f>$H$6*B19+$H$7</f>
        <v>28.10451127819549</v>
      </c>
      <c r="E19" s="3">
        <f>C19-D19</f>
        <v>3.8954887218045116</v>
      </c>
    </row>
    <row r="20">
      <c r="A20" s="0" t="inlineStr">
        <is>
          <t xml:space="preserve">Temperatura 15</t>
        </is>
      </c>
      <c r="B20" s="2">
        <v>15</v>
      </c>
      <c r="C20" s="2">
        <v>36</v>
      </c>
      <c r="D20" s="3">
        <f>$H$6*B20+$H$7</f>
        <v>30.072180451127817</v>
      </c>
      <c r="E20" s="3">
        <f>C20-D20</f>
        <v>5.927819548872183</v>
      </c>
    </row>
    <row r="21">
      <c r="A21" s="0" t="inlineStr">
        <is>
          <t xml:space="preserve">Temperatura 16</t>
        </is>
      </c>
      <c r="B21" s="2">
        <v>16</v>
      </c>
      <c r="C21" s="2">
        <v>29</v>
      </c>
      <c r="D21" s="3">
        <f>$H$6*B21+$H$7</f>
        <v>32.03984962406015</v>
      </c>
      <c r="E21" s="3">
        <f>C21-D21</f>
        <v>-3.039849624060153</v>
      </c>
    </row>
    <row r="22">
      <c r="A22" s="0" t="inlineStr">
        <is>
          <t xml:space="preserve">Temperatura 17</t>
        </is>
      </c>
      <c r="B22" s="2">
        <v>17</v>
      </c>
      <c r="C22" s="2">
        <v>37</v>
      </c>
      <c r="D22" s="3">
        <f>$H$6*B22+$H$7</f>
        <v>34.00751879699248</v>
      </c>
      <c r="E22" s="3">
        <f>C22-D22</f>
        <v>2.9924812030075216</v>
      </c>
    </row>
    <row r="23">
      <c r="A23" s="0" t="inlineStr">
        <is>
          <t xml:space="preserve">Temperatura 18</t>
        </is>
      </c>
      <c r="B23" s="2">
        <v>18</v>
      </c>
      <c r="C23" s="2">
        <v>37</v>
      </c>
      <c r="D23" s="3">
        <f>$H$6*B23+$H$7</f>
        <v>35.97518796992481</v>
      </c>
      <c r="E23" s="3">
        <f>C23-D23</f>
        <v>1.0248120300751893</v>
      </c>
    </row>
    <row r="24">
      <c r="A24" s="0" t="inlineStr">
        <is>
          <t xml:space="preserve">Temperatura 19</t>
        </is>
      </c>
      <c r="B24" s="2">
        <v>19</v>
      </c>
      <c r="C24" s="2">
        <v>32</v>
      </c>
      <c r="D24" s="3">
        <f>$H$6*B24+$H$7</f>
        <v>37.94285714285714</v>
      </c>
      <c r="E24" s="3">
        <f>C24-D24</f>
        <v>-5.942857142857143</v>
      </c>
    </row>
  </sheetData>
  <pageMargins left="0.4" right="0.4" top="0.5" bottom="0.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24" customWidth="1"/>
    <col min="2" max="2" width="20" customWidth="1"/>
    <col min="3" max="3" width="24" customWidth="1"/>
    <col min="4" max="4" width="20" customWidth="1"/>
    <col min="5" max="5" width="18" customWidth="1"/>
    <col min="7" max="7" width="22" customWidth="1"/>
    <col min="8" max="8" width="20" customWidth="1"/>
  </cols>
  <sheetData>
    <row r="1">
      <c r="A1" s="1" t="inlineStr">
        <is>
          <t xml:space="preserve">Reg Cigarrillos</t>
        </is>
      </c>
    </row>
    <row r="2">
      <c r="A2" s="0" t="inlineStr">
        <is>
          <t xml:space="preserve">Edita X e Y en azul. Gráfico XY nativo con tendencia lineal. Fórmulas se recalculan al abrir.</t>
        </is>
      </c>
    </row>
    <row r="4">
      <c r="A4" s="1" t="inlineStr">
        <is>
          <t xml:space="preserve">Registro</t>
        </is>
      </c>
      <c r="B4" s="1" t="inlineStr">
        <is>
          <t xml:space="preserve">Temperatura (°C)</t>
        </is>
      </c>
      <c r="C4" s="1" t="inlineStr">
        <is>
          <t xml:space="preserve">Ventas por hora</t>
        </is>
      </c>
      <c r="D4" s="1" t="inlineStr">
        <is>
          <t xml:space="preserve">Y estimada</t>
        </is>
      </c>
      <c r="E4" s="1" t="inlineStr">
        <is>
          <t xml:space="preserve">Residuo</t>
        </is>
      </c>
      <c r="F4" s="1" t="inlineStr">
        <is>
          <t xml:space="preserve"/>
        </is>
      </c>
      <c r="G4" s="1" t="inlineStr">
        <is>
          <t xml:space="preserve">Indicador</t>
        </is>
      </c>
      <c r="H4" s="1" t="inlineStr">
        <is>
          <t xml:space="preserve">Valor</t>
        </is>
      </c>
    </row>
    <row r="5">
      <c r="A5" s="0" t="inlineStr">
        <is>
          <t xml:space="preserve">Temperatura 0</t>
        </is>
      </c>
      <c r="B5" s="2">
        <v>0</v>
      </c>
      <c r="C5" s="2">
        <v>11</v>
      </c>
      <c r="D5" s="3">
        <f>$H$6*B5+$H$7</f>
        <v>8.9</v>
      </c>
      <c r="E5" s="3">
        <f>C5-D5</f>
        <v>2.0999999999999996</v>
      </c>
      <c r="G5" s="0" t="inlineStr">
        <is>
          <t xml:space="preserve">r</t>
        </is>
      </c>
      <c r="H5" s="3">
        <f>CORREL(B5:B24,C5:C24)</f>
        <v>-0.8760010868828928</v>
      </c>
    </row>
    <row r="6">
      <c r="A6" s="0" t="inlineStr">
        <is>
          <t xml:space="preserve">Temperatura 1</t>
        </is>
      </c>
      <c r="B6" s="2">
        <v>1</v>
      </c>
      <c r="C6" s="2">
        <v>9</v>
      </c>
      <c r="D6" s="3">
        <f>$H$6*B6+$H$7</f>
        <v>8.542105263157895</v>
      </c>
      <c r="E6" s="3">
        <f>C6-D6</f>
        <v>0.45789473684210513</v>
      </c>
      <c r="G6" s="0" t="inlineStr">
        <is>
          <t xml:space="preserve">Pendiente m</t>
        </is>
      </c>
      <c r="H6" s="3">
        <f>SLOPE(C5:C24,B5:B24)</f>
        <v>-0.35789473684210527</v>
      </c>
    </row>
    <row r="7">
      <c r="A7" s="0" t="inlineStr">
        <is>
          <t xml:space="preserve">Temperatura 2</t>
        </is>
      </c>
      <c r="B7" s="2">
        <v>2</v>
      </c>
      <c r="C7" s="2">
        <v>8</v>
      </c>
      <c r="D7" s="3">
        <f>$H$6*B7+$H$7</f>
        <v>8.18421052631579</v>
      </c>
      <c r="E7" s="3">
        <f>C7-D7</f>
        <v>-0.18421052631578938</v>
      </c>
      <c r="G7" s="0" t="inlineStr">
        <is>
          <t xml:space="preserve">Intercepto b</t>
        </is>
      </c>
      <c r="H7" s="3">
        <f>INTERCEPT(C5:C24,B5:B24)</f>
        <v>8.9</v>
      </c>
    </row>
    <row r="8">
      <c r="A8" s="0" t="inlineStr">
        <is>
          <t xml:space="preserve">Temperatura 3</t>
        </is>
      </c>
      <c r="B8" s="2">
        <v>3</v>
      </c>
      <c r="C8" s="2">
        <v>9</v>
      </c>
      <c r="D8" s="3">
        <f>$H$6*B8+$H$7</f>
        <v>7.826315789473685</v>
      </c>
      <c r="E8" s="3">
        <f>C8-D8</f>
        <v>1.1736842105263152</v>
      </c>
      <c r="G8" s="0" t="inlineStr">
        <is>
          <t xml:space="preserve">R²</t>
        </is>
      </c>
      <c r="H8" s="3">
        <f>RSQ(C5:C24,B5:B24)</f>
        <v>0.7673779042200095</v>
      </c>
    </row>
    <row r="9">
      <c r="A9" s="0" t="inlineStr">
        <is>
          <t xml:space="preserve">Temperatura 4</t>
        </is>
      </c>
      <c r="B9" s="2">
        <v>4</v>
      </c>
      <c r="C9" s="2">
        <v>8</v>
      </c>
      <c r="D9" s="3">
        <f>$H$6*B9+$H$7</f>
        <v>7.468421052631579</v>
      </c>
      <c r="E9" s="3">
        <f>C9-D9</f>
        <v>0.5315789473684207</v>
      </c>
      <c r="G9" s="0" t="inlineStr">
        <is>
          <t xml:space="preserve">X para predecir</t>
        </is>
      </c>
      <c r="H9" s="2">
        <v>0</v>
      </c>
    </row>
    <row r="10">
      <c r="A10" s="0" t="inlineStr">
        <is>
          <t xml:space="preserve">Temperatura 5</t>
        </is>
      </c>
      <c r="B10" s="2">
        <v>5</v>
      </c>
      <c r="C10" s="2">
        <v>6</v>
      </c>
      <c r="D10" s="3">
        <f>$H$6*B10+$H$7</f>
        <v>7.110526315789474</v>
      </c>
      <c r="E10" s="3">
        <f>C10-D10</f>
        <v>-1.1105263157894738</v>
      </c>
      <c r="G10" s="0" t="inlineStr">
        <is>
          <t xml:space="preserve">Y predicha</t>
        </is>
      </c>
      <c r="H10" s="3">
        <f>H6*H9+H7</f>
        <v>8.9</v>
      </c>
    </row>
    <row r="11">
      <c r="A11" s="0" t="inlineStr">
        <is>
          <t xml:space="preserve">Temperatura 6</t>
        </is>
      </c>
      <c r="B11" s="2">
        <v>6</v>
      </c>
      <c r="C11" s="2">
        <v>6</v>
      </c>
      <c r="D11" s="3">
        <f>$H$6*B11+$H$7</f>
        <v>6.752631578947369</v>
      </c>
      <c r="E11" s="3">
        <f>C11-D11</f>
        <v>-0.7526315789473692</v>
      </c>
    </row>
    <row r="12">
      <c r="A12" s="0" t="inlineStr">
        <is>
          <t xml:space="preserve">Temperatura 7</t>
        </is>
      </c>
      <c r="B12" s="2">
        <v>7</v>
      </c>
      <c r="C12" s="2">
        <v>3</v>
      </c>
      <c r="D12" s="3">
        <f>$H$6*B12+$H$7</f>
        <v>6.394736842105264</v>
      </c>
      <c r="E12" s="3">
        <f>C12-D12</f>
        <v>-3.3947368421052637</v>
      </c>
    </row>
    <row r="13">
      <c r="A13" s="0" t="inlineStr">
        <is>
          <t xml:space="preserve">Temperatura 8</t>
        </is>
      </c>
      <c r="B13" s="2">
        <v>8</v>
      </c>
      <c r="C13" s="2">
        <v>5</v>
      </c>
      <c r="D13" s="3">
        <f>$H$6*B13+$H$7</f>
        <v>6.036842105263158</v>
      </c>
      <c r="E13" s="3">
        <f>C13-D13</f>
        <v>-1.0368421052631582</v>
      </c>
    </row>
    <row r="14">
      <c r="A14" s="0" t="inlineStr">
        <is>
          <t xml:space="preserve">Temperatura 9</t>
        </is>
      </c>
      <c r="B14" s="2">
        <v>9</v>
      </c>
      <c r="C14" s="2">
        <v>5</v>
      </c>
      <c r="D14" s="3">
        <f>$H$6*B14+$H$7</f>
        <v>5.678947368421053</v>
      </c>
      <c r="E14" s="3">
        <f>C14-D14</f>
        <v>-0.6789473684210527</v>
      </c>
    </row>
    <row r="15">
      <c r="A15" s="0" t="inlineStr">
        <is>
          <t xml:space="preserve">Temperatura 10</t>
        </is>
      </c>
      <c r="B15" s="2">
        <v>10</v>
      </c>
      <c r="C15" s="2">
        <v>7</v>
      </c>
      <c r="D15" s="3">
        <f>$H$6*B15+$H$7</f>
        <v>5.321052631578947</v>
      </c>
      <c r="E15" s="3">
        <f>C15-D15</f>
        <v>1.6789473684210527</v>
      </c>
    </row>
    <row r="16">
      <c r="A16" s="0" t="inlineStr">
        <is>
          <t xml:space="preserve">Temperatura 11</t>
        </is>
      </c>
      <c r="B16" s="2">
        <v>11</v>
      </c>
      <c r="C16" s="2">
        <v>5</v>
      </c>
      <c r="D16" s="3">
        <f>$H$6*B16+$H$7</f>
        <v>4.963157894736843</v>
      </c>
      <c r="E16" s="3">
        <f>C16-D16</f>
        <v>0.03684210526315734</v>
      </c>
    </row>
    <row r="17">
      <c r="A17" s="0" t="inlineStr">
        <is>
          <t xml:space="preserve">Temperatura 12</t>
        </is>
      </c>
      <c r="B17" s="2">
        <v>12</v>
      </c>
      <c r="C17" s="2">
        <v>4</v>
      </c>
      <c r="D17" s="3">
        <f>$H$6*B17+$H$7</f>
        <v>4.605263157894737</v>
      </c>
      <c r="E17" s="3">
        <f>C17-D17</f>
        <v>-0.6052631578947372</v>
      </c>
    </row>
    <row r="18">
      <c r="A18" s="0" t="inlineStr">
        <is>
          <t xml:space="preserve">Temperatura 13</t>
        </is>
      </c>
      <c r="B18" s="2">
        <v>13</v>
      </c>
      <c r="C18" s="2">
        <v>4</v>
      </c>
      <c r="D18" s="3">
        <f>$H$6*B18+$H$7</f>
        <v>4.247368421052632</v>
      </c>
      <c r="E18" s="3">
        <f>C18-D18</f>
        <v>-0.24736842105263168</v>
      </c>
    </row>
    <row r="19">
      <c r="A19" s="0" t="inlineStr">
        <is>
          <t xml:space="preserve">Temperatura 14</t>
        </is>
      </c>
      <c r="B19" s="2">
        <v>14</v>
      </c>
      <c r="C19" s="2">
        <v>4</v>
      </c>
      <c r="D19" s="3">
        <f>$H$6*B19+$H$7</f>
        <v>3.889473684210527</v>
      </c>
      <c r="E19" s="3">
        <f>C19-D19</f>
        <v>0.11052631578947292</v>
      </c>
    </row>
    <row r="20">
      <c r="A20" s="0" t="inlineStr">
        <is>
          <t xml:space="preserve">Temperatura 15</t>
        </is>
      </c>
      <c r="B20" s="2">
        <v>15</v>
      </c>
      <c r="C20" s="2">
        <v>4</v>
      </c>
      <c r="D20" s="3">
        <f>$H$6*B20+$H$7</f>
        <v>3.5315789473684216</v>
      </c>
      <c r="E20" s="3">
        <f>C20-D20</f>
        <v>0.4684210526315784</v>
      </c>
    </row>
    <row r="21">
      <c r="A21" s="0" t="inlineStr">
        <is>
          <t xml:space="preserve">Temperatura 16</t>
        </is>
      </c>
      <c r="B21" s="2">
        <v>16</v>
      </c>
      <c r="C21" s="2">
        <v>3</v>
      </c>
      <c r="D21" s="3">
        <f>$H$6*B21+$H$7</f>
        <v>3.173684210526316</v>
      </c>
      <c r="E21" s="3">
        <f>C21-D21</f>
        <v>-0.1736842105263161</v>
      </c>
    </row>
    <row r="22">
      <c r="A22" s="0" t="inlineStr">
        <is>
          <t xml:space="preserve">Temperatura 17</t>
        </is>
      </c>
      <c r="B22" s="2">
        <v>17</v>
      </c>
      <c r="C22" s="2">
        <v>3</v>
      </c>
      <c r="D22" s="3">
        <f>$H$6*B22+$H$7</f>
        <v>2.8157894736842106</v>
      </c>
      <c r="E22" s="3">
        <f>C22-D22</f>
        <v>0.18421052631578938</v>
      </c>
    </row>
    <row r="23">
      <c r="A23" s="0" t="inlineStr">
        <is>
          <t xml:space="preserve">Temperatura 18</t>
        </is>
      </c>
      <c r="B23" s="2">
        <v>18</v>
      </c>
      <c r="C23" s="2">
        <v>3</v>
      </c>
      <c r="D23" s="3">
        <f>$H$6*B23+$H$7</f>
        <v>2.457894736842105</v>
      </c>
      <c r="E23" s="3">
        <f>C23-D23</f>
        <v>0.5421052631578949</v>
      </c>
    </row>
    <row r="24">
      <c r="A24" s="0" t="inlineStr">
        <is>
          <t xml:space="preserve">Temperatura 19</t>
        </is>
      </c>
      <c r="B24" s="2">
        <v>19</v>
      </c>
      <c r="C24" s="2">
        <v>3</v>
      </c>
      <c r="D24" s="3">
        <f>$H$6*B24+$H$7</f>
        <v>2.1000000000000005</v>
      </c>
      <c r="E24" s="3">
        <f>C24-D24</f>
        <v>0.8999999999999995</v>
      </c>
    </row>
  </sheetData>
  <pageMargins left="0.4" right="0.4" top="0.5" bottom="0.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25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inlineStr">
        <is>
          <t xml:space="preserve">Correlación financiera · 20 semanas</t>
        </is>
      </c>
    </row>
    <row r="2">
      <c r="A2" s="0" t="inlineStr">
        <is>
          <t xml:space="preserve">Variaciones en decimales: 0,025 equivale a 2,5%. Datos del archivo de clase.</t>
        </is>
      </c>
    </row>
    <row r="4">
      <c r="A4" s="1" t="inlineStr">
        <is>
          <t xml:space="preserve">Semana</t>
        </is>
      </c>
      <c r="B4" s="1" t="inlineStr">
        <is>
          <t xml:space="preserve">Acción A</t>
        </is>
      </c>
      <c r="C4" s="1" t="inlineStr">
        <is>
          <t xml:space="preserve">S&amp;P 500</t>
        </is>
      </c>
      <c r="D4" s="1" t="inlineStr">
        <is>
          <t xml:space="preserve">Dólar</t>
        </is>
      </c>
      <c r="E4" s="1" t="inlineStr">
        <is>
          <t xml:space="preserve">Risk index</t>
        </is>
      </c>
    </row>
    <row r="5">
      <c r="A5" s="2">
        <v>1</v>
      </c>
      <c r="B5" s="2">
        <v>0.025</v>
      </c>
      <c r="C5" s="2">
        <v>0.0127</v>
      </c>
      <c r="D5" s="2">
        <v>697</v>
      </c>
      <c r="E5" s="2">
        <v>-0.011430000000000001</v>
      </c>
    </row>
    <row r="6">
      <c r="A6" s="2">
        <v>2</v>
      </c>
      <c r="B6" s="2">
        <v>0.0257</v>
      </c>
      <c r="C6" s="2">
        <v>0.015300000000000001</v>
      </c>
      <c r="D6" s="2">
        <v>701.8</v>
      </c>
      <c r="E6" s="2">
        <v>-0.015453000000000001</v>
      </c>
    </row>
    <row r="7">
      <c r="A7" s="2">
        <v>3</v>
      </c>
      <c r="B7" s="2">
        <v>-0.0075</v>
      </c>
      <c r="C7" s="2">
        <v>-0.0116</v>
      </c>
      <c r="D7" s="2">
        <v>699.6</v>
      </c>
      <c r="E7" s="2">
        <v>0.010556</v>
      </c>
    </row>
    <row r="8">
      <c r="A8" s="2">
        <v>4</v>
      </c>
      <c r="B8" s="2">
        <v>0.0352</v>
      </c>
      <c r="C8" s="2">
        <v>0.031</v>
      </c>
      <c r="D8" s="2">
        <v>700.3</v>
      </c>
      <c r="E8" s="2">
        <v>-0.030379999999999997</v>
      </c>
    </row>
    <row r="9">
      <c r="A9" s="2">
        <v>5</v>
      </c>
      <c r="B9" s="2">
        <v>-0.0127</v>
      </c>
      <c r="C9" s="2">
        <v>-0.0087</v>
      </c>
      <c r="D9" s="2">
        <v>703.8</v>
      </c>
      <c r="E9" s="2">
        <v>0.008960999999999998</v>
      </c>
    </row>
    <row r="10">
      <c r="A10" s="2">
        <v>6</v>
      </c>
      <c r="B10" s="2">
        <v>0.0201</v>
      </c>
      <c r="C10" s="2">
        <v>0.015300000000000001</v>
      </c>
      <c r="D10" s="2">
        <v>692.6</v>
      </c>
      <c r="E10" s="2">
        <v>-0.016371000000000004</v>
      </c>
    </row>
    <row r="11">
      <c r="A11" s="2">
        <v>7</v>
      </c>
      <c r="B11" s="2">
        <v>0.0263</v>
      </c>
      <c r="C11" s="2">
        <v>0.009300000000000001</v>
      </c>
      <c r="D11" s="2">
        <v>707.4</v>
      </c>
      <c r="E11" s="2">
        <v>-0.009393000000000002</v>
      </c>
    </row>
    <row r="12">
      <c r="A12" s="2">
        <v>8</v>
      </c>
      <c r="B12" s="2">
        <v>-0.0116</v>
      </c>
      <c r="C12" s="2">
        <v>-0.013600000000000001</v>
      </c>
      <c r="D12" s="2">
        <v>691</v>
      </c>
      <c r="E12" s="2">
        <v>0.014280000000000001</v>
      </c>
    </row>
    <row r="13">
      <c r="A13" s="2">
        <v>9</v>
      </c>
      <c r="B13" s="2">
        <v>0.0041</v>
      </c>
      <c r="C13" s="2">
        <v>-0.0032</v>
      </c>
      <c r="D13" s="2">
        <v>706.9</v>
      </c>
      <c r="E13" s="2">
        <v>0.0032320000000000005</v>
      </c>
    </row>
    <row r="14">
      <c r="A14" s="2">
        <v>10</v>
      </c>
      <c r="B14" s="2">
        <v>0.0537</v>
      </c>
      <c r="C14" s="2">
        <v>0.0163</v>
      </c>
      <c r="D14" s="2">
        <v>698.2</v>
      </c>
      <c r="E14" s="2">
        <v>-0.015158999999999999</v>
      </c>
    </row>
    <row r="15">
      <c r="A15" s="2">
        <v>11</v>
      </c>
      <c r="B15" s="2">
        <v>-0.011</v>
      </c>
      <c r="C15" s="2">
        <v>-0.013600000000000001</v>
      </c>
      <c r="D15" s="2">
        <v>701</v>
      </c>
      <c r="E15" s="2">
        <v>0.012512</v>
      </c>
    </row>
    <row r="16">
      <c r="A16" s="2">
        <v>12</v>
      </c>
      <c r="B16" s="2">
        <v>0.0041</v>
      </c>
      <c r="C16" s="2">
        <v>0.0069</v>
      </c>
      <c r="D16" s="2">
        <v>691.9</v>
      </c>
      <c r="E16" s="2">
        <v>-0.006416999999999999</v>
      </c>
    </row>
    <row r="17">
      <c r="A17" s="2">
        <v>13</v>
      </c>
      <c r="B17" s="2">
        <v>0.0083</v>
      </c>
      <c r="C17" s="2">
        <v>-0.0016</v>
      </c>
      <c r="D17" s="2">
        <v>700.1</v>
      </c>
      <c r="E17" s="2">
        <v>0.0016</v>
      </c>
    </row>
    <row r="18">
      <c r="A18" s="2">
        <v>14</v>
      </c>
      <c r="B18" s="2">
        <v>0.009</v>
      </c>
      <c r="C18" s="2">
        <v>0.0069</v>
      </c>
      <c r="D18" s="2">
        <v>699.9</v>
      </c>
      <c r="E18" s="2">
        <v>-0.007245000000000001</v>
      </c>
    </row>
    <row r="19">
      <c r="A19" s="2">
        <v>15</v>
      </c>
      <c r="B19" s="2">
        <v>0.0201</v>
      </c>
      <c r="C19" s="2">
        <v>0.0148</v>
      </c>
      <c r="D19" s="2">
        <v>700.1</v>
      </c>
      <c r="E19" s="2">
        <v>-0.01554</v>
      </c>
    </row>
    <row r="20">
      <c r="A20" s="2">
        <v>16</v>
      </c>
      <c r="B20" s="2">
        <v>0.021</v>
      </c>
      <c r="C20" s="2">
        <v>0.0158</v>
      </c>
      <c r="D20" s="2">
        <v>698.2</v>
      </c>
      <c r="E20" s="2">
        <v>-0.017380000000000003</v>
      </c>
    </row>
    <row r="21">
      <c r="A21" s="2">
        <v>17</v>
      </c>
      <c r="B21" s="2">
        <v>0.03</v>
      </c>
      <c r="C21" s="2">
        <v>0.0125</v>
      </c>
      <c r="D21" s="2">
        <v>694.3</v>
      </c>
      <c r="E21" s="2">
        <v>-0.013000000000000001</v>
      </c>
    </row>
    <row r="22">
      <c r="A22" s="2">
        <v>18</v>
      </c>
      <c r="B22" s="2">
        <v>-0.0227</v>
      </c>
      <c r="C22" s="2">
        <v>-0.0352</v>
      </c>
      <c r="D22" s="2">
        <v>704.5</v>
      </c>
      <c r="E22" s="2">
        <v>0.032736</v>
      </c>
    </row>
    <row r="23">
      <c r="A23" s="2">
        <v>19</v>
      </c>
      <c r="B23" s="2">
        <v>0.0106</v>
      </c>
      <c r="C23" s="2">
        <v>0.0048</v>
      </c>
      <c r="D23" s="2">
        <v>700.4</v>
      </c>
      <c r="E23" s="2">
        <v>-0.004704</v>
      </c>
    </row>
    <row r="24">
      <c r="A24" s="2">
        <v>20</v>
      </c>
      <c r="B24" s="2">
        <v>-0.0008</v>
      </c>
      <c r="C24" s="2">
        <v>-0.01</v>
      </c>
      <c r="D24" s="2">
        <v>705.8</v>
      </c>
      <c r="E24" s="2">
        <v>0.0097</v>
      </c>
    </row>
    <row r="27">
      <c r="A27" s="1" t="inlineStr">
        <is>
          <t xml:space="preserve">Relación</t>
        </is>
      </c>
      <c r="B27" s="1" t="inlineStr">
        <is>
          <t xml:space="preserve">r</t>
        </is>
      </c>
    </row>
    <row r="28">
      <c r="A28" s="0" t="inlineStr">
        <is>
          <t xml:space="preserve">Acción - S&amp;P</t>
        </is>
      </c>
      <c r="B28" s="3">
        <f>CORREL(B5:B24,C5:C24)</f>
        <v>0.8902133358699844</v>
      </c>
    </row>
    <row r="29">
      <c r="A29" s="0" t="inlineStr">
        <is>
          <t xml:space="preserve">Acción - dólar</t>
        </is>
      </c>
      <c r="B29" s="3">
        <f>CORREL(B5:B24,D5:D24)</f>
        <v>-0.16087989895464155</v>
      </c>
    </row>
    <row r="30">
      <c r="A30" s="0" t="inlineStr">
        <is>
          <t xml:space="preserve">Dólar - Risk</t>
        </is>
      </c>
      <c r="B30" s="3">
        <f>CORREL(D5:D24,E5:E24)</f>
        <v>0.26461766443148454</v>
      </c>
    </row>
    <row r="31">
      <c r="A31" s="0" t="inlineStr">
        <is>
          <t xml:space="preserve">S&amp;P - Risk</t>
        </is>
      </c>
      <c r="B31" s="3">
        <f>CORREL(C5:C24,E5:E24)</f>
        <v>-0.9984506114056607</v>
      </c>
    </row>
  </sheetData>
  <pageMargins left="0.4" right="0.4" top="0.5" bottom="0.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32" customWidth="1"/>
    <col min="2" max="2" width="22" customWidth="1"/>
    <col min="3" max="3" width="22" customWidth="1"/>
    <col min="4" max="4" width="22" customWidth="1"/>
    <col min="5" max="5" width="18" customWidth="1"/>
  </cols>
  <sheetData>
    <row r="1">
      <c r="A1" s="1" t="inlineStr">
        <is>
          <t xml:space="preserve">Chi Muestra</t>
        </is>
      </c>
    </row>
    <row r="2">
      <c r="A2" s="0" t="inlineStr">
        <is>
          <t xml:space="preserve">Conteos recalculados desde Muestra. Discrepa de la tabla guardada en Análisis (3).</t>
        </is>
      </c>
    </row>
    <row r="4">
      <c r="A4" s="1" t="inlineStr">
        <is>
          <t xml:space="preserve">Grupo</t>
        </is>
      </c>
      <c r="B4" s="1" t="inlineStr">
        <is>
          <t xml:space="preserve">Empeoramiento</t>
        </is>
      </c>
      <c r="C4" s="1" t="inlineStr">
        <is>
          <t xml:space="preserve">Mejoría</t>
        </is>
      </c>
      <c r="D4" s="1" t="inlineStr">
        <is>
          <t xml:space="preserve">Sin cambio</t>
        </is>
      </c>
      <c r="E4" s="1" t="inlineStr">
        <is>
          <t xml:space="preserve">Total</t>
        </is>
      </c>
    </row>
    <row r="5">
      <c r="A5" s="0" t="inlineStr">
        <is>
          <t xml:space="preserve">Placebo</t>
        </is>
      </c>
      <c r="B5" s="2">
        <v>2</v>
      </c>
      <c r="C5" s="2">
        <v>9</v>
      </c>
      <c r="D5" s="2">
        <v>16</v>
      </c>
      <c r="E5" s="3">
        <f>SUM(B5:D5)</f>
        <v>27</v>
      </c>
    </row>
    <row r="6">
      <c r="A6" s="0" t="inlineStr">
        <is>
          <t xml:space="preserve">Tratamiento</t>
        </is>
      </c>
      <c r="B6" s="2">
        <v>51</v>
      </c>
      <c r="C6" s="2">
        <v>88</v>
      </c>
      <c r="D6" s="2">
        <v>81</v>
      </c>
      <c r="E6" s="3">
        <f>SUM(B6:D6)</f>
        <v>220</v>
      </c>
    </row>
    <row r="7">
      <c r="A7" s="1" t="inlineStr">
        <is>
          <t xml:space="preserve">TOTAL</t>
        </is>
      </c>
      <c r="B7" s="3">
        <f>SUM(B5:B6)</f>
        <v>53</v>
      </c>
      <c r="C7" s="3">
        <f>SUM(C5:C6)</f>
        <v>97</v>
      </c>
      <c r="D7" s="3">
        <f>SUM(D5:D6)</f>
        <v>97</v>
      </c>
      <c r="E7" s="3">
        <f>SUM(E5:E6)</f>
        <v>247</v>
      </c>
    </row>
    <row r="11">
      <c r="A11" s="1" t="inlineStr">
        <is>
          <t xml:space="preserve">Esperados</t>
        </is>
      </c>
      <c r="B11" s="1" t="inlineStr">
        <is>
          <t xml:space="preserve">Empeoramiento</t>
        </is>
      </c>
      <c r="C11" s="1" t="inlineStr">
        <is>
          <t xml:space="preserve">Mejoría</t>
        </is>
      </c>
      <c r="D11" s="1" t="inlineStr">
        <is>
          <t xml:space="preserve">Sin cambio</t>
        </is>
      </c>
    </row>
    <row r="12">
      <c r="A12" s="0" t="inlineStr">
        <is>
          <t xml:space="preserve">Placebo</t>
        </is>
      </c>
      <c r="B12" s="3">
        <f>$E5*B$7/$E$7</f>
        <v>5.793522267206478</v>
      </c>
      <c r="C12" s="3">
        <f>$E5*C$7/$E$7</f>
        <v>10.603238866396762</v>
      </c>
      <c r="D12" s="3">
        <f>$E5*D$7/$E$7</f>
        <v>10.603238866396762</v>
      </c>
    </row>
    <row r="13">
      <c r="A13" s="0" t="inlineStr">
        <is>
          <t xml:space="preserve">Tratamiento</t>
        </is>
      </c>
      <c r="B13" s="3">
        <f>$E6*B$7/$E$7</f>
        <v>47.20647773279352</v>
      </c>
      <c r="C13" s="3">
        <f>$E6*C$7/$E$7</f>
        <v>86.39676113360323</v>
      </c>
      <c r="D13" s="3">
        <f>$E6*D$7/$E$7</f>
        <v>86.39676113360323</v>
      </c>
    </row>
    <row r="17">
      <c r="A17" s="1" t="inlineStr">
        <is>
          <t xml:space="preserve">Contribución χ²</t>
        </is>
      </c>
      <c r="B17" s="1" t="inlineStr">
        <is>
          <t xml:space="preserve">Empeoramiento</t>
        </is>
      </c>
      <c r="C17" s="1" t="inlineStr">
        <is>
          <t xml:space="preserve">Mejoría</t>
        </is>
      </c>
      <c r="D17" s="1" t="inlineStr">
        <is>
          <t xml:space="preserve">Sin cambio</t>
        </is>
      </c>
    </row>
    <row r="18">
      <c r="A18" s="0" t="inlineStr">
        <is>
          <t xml:space="preserve">Placebo</t>
        </is>
      </c>
      <c r="B18" s="3">
        <f>(B5-B12)^2/B12</f>
        <v>2.4839485425384136</v>
      </c>
      <c r="C18" s="3">
        <f>(C5-C12)^2/C12</f>
        <v>0.24241412412872004</v>
      </c>
      <c r="D18" s="3">
        <f>(D5-D12)^2/D12</f>
        <v>2.7468051130557907</v>
      </c>
    </row>
    <row r="19">
      <c r="A19" s="0" t="inlineStr">
        <is>
          <t xml:space="preserve">Tratamiento</t>
        </is>
      </c>
      <c r="B19" s="3">
        <f>(B6-B13)^2/B13</f>
        <v>0.3048482302206233</v>
      </c>
      <c r="C19" s="3">
        <f>(C6-C13)^2/C13</f>
        <v>0.029750824324888504</v>
      </c>
      <c r="D19" s="3">
        <f>(D6-D13)^2/D13</f>
        <v>0.3371079002386648</v>
      </c>
    </row>
    <row r="23">
      <c r="A23" s="0" t="inlineStr">
        <is>
          <t xml:space="preserve">χ²</t>
        </is>
      </c>
      <c r="B23" s="3">
        <f>SUM(B18:D19)</f>
        <v>6.144874734507101</v>
      </c>
    </row>
    <row r="24">
      <c r="A24" s="0" t="inlineStr">
        <is>
          <t xml:space="preserve">Grados de libertad</t>
        </is>
      </c>
      <c r="B24" s="0">
        <v>2</v>
      </c>
    </row>
    <row r="25">
      <c r="A25" s="0" t="inlineStr">
        <is>
          <t xml:space="preserve">Valor p</t>
        </is>
      </c>
      <c r="B25" s="3">
        <f>CHITEST(B5:D6,B12:D13)</f>
        <v>0.04630814723119947</v>
      </c>
    </row>
    <row r="26">
      <c r="A26" s="0" t="inlineStr">
        <is>
          <t xml:space="preserve">α</t>
        </is>
      </c>
      <c r="B26" s="2">
        <v>0.05</v>
      </c>
    </row>
    <row r="27">
      <c r="A27" s="0" t="inlineStr">
        <is>
          <t xml:space="preserve">Decisión</t>
        </is>
      </c>
      <c r="B27" s="3" t="str">
        <f>IF(B25&lt;B26,"Rechazar H0","No rechazar H0")</f>
        <v>Rechazar H0</v>
      </c>
    </row>
    <row r="28">
      <c r="A28" s="0" t="inlineStr">
        <is>
          <t xml:space="preserve">V Cramér</t>
        </is>
      </c>
      <c r="B28" s="3">
        <f>SQRT(B23/(E7*MIN(1,2)))</f>
        <v>0.15772772540798566</v>
      </c>
    </row>
    <row r="31">
      <c r="A31" s="1" t="inlineStr">
        <is>
          <t xml:space="preserve">Proporciones por grupo</t>
        </is>
      </c>
      <c r="B31" s="1" t="inlineStr">
        <is>
          <t xml:space="preserve">Empeoramiento</t>
        </is>
      </c>
      <c r="C31" s="1" t="inlineStr">
        <is>
          <t xml:space="preserve">Mejoría</t>
        </is>
      </c>
      <c r="D31" s="1" t="inlineStr">
        <is>
          <t xml:space="preserve">Sin cambio</t>
        </is>
      </c>
    </row>
    <row r="32">
      <c r="A32" s="0" t="inlineStr">
        <is>
          <t xml:space="preserve">Placebo</t>
        </is>
      </c>
      <c r="B32" s="3">
        <f>B5/$E5</f>
        <v>0.07407407407407407</v>
      </c>
      <c r="C32" s="3">
        <f>C5/$E5</f>
        <v>0.3333333333333333</v>
      </c>
      <c r="D32" s="3">
        <f>D5/$E5</f>
        <v>0.5925925925925926</v>
      </c>
    </row>
    <row r="33">
      <c r="A33" s="0" t="inlineStr">
        <is>
          <t xml:space="preserve">Tratamiento</t>
        </is>
      </c>
      <c r="B33" s="3">
        <f>B6/$E6</f>
        <v>0.2318181818181818</v>
      </c>
      <c r="C33" s="3">
        <f>C6/$E6</f>
        <v>0.4</v>
      </c>
      <c r="D33" s="3">
        <f>D6/$E6</f>
        <v>0.36818181818181817</v>
      </c>
    </row>
  </sheetData>
  <pageMargins left="0.4" right="0.4" top="0.5" bottom="0.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32" customWidth="1"/>
    <col min="2" max="2" width="22" customWidth="1"/>
    <col min="3" max="3" width="22" customWidth="1"/>
    <col min="4" max="4" width="22" customWidth="1"/>
    <col min="5" max="5" width="18" customWidth="1"/>
  </cols>
  <sheetData>
    <row r="1">
      <c r="A1" s="1" t="inlineStr">
        <is>
          <t xml:space="preserve">Chi guardada</t>
        </is>
      </c>
    </row>
    <row r="2">
      <c r="A2" s="0" t="inlineStr">
        <is>
          <t xml:space="preserve">Reproduce la tabla de Análisis (3), no los conteos de Muestra. Su texto p=0,032 es incorrecto.</t>
        </is>
      </c>
    </row>
    <row r="4">
      <c r="A4" s="1" t="inlineStr">
        <is>
          <t xml:space="preserve">Grupo</t>
        </is>
      </c>
      <c r="B4" s="1" t="inlineStr">
        <is>
          <t xml:space="preserve">Empeoramiento</t>
        </is>
      </c>
      <c r="C4" s="1" t="inlineStr">
        <is>
          <t xml:space="preserve">Mejoría</t>
        </is>
      </c>
      <c r="D4" s="1" t="inlineStr">
        <is>
          <t xml:space="preserve">Sin cambio</t>
        </is>
      </c>
      <c r="E4" s="1" t="inlineStr">
        <is>
          <t xml:space="preserve">Total</t>
        </is>
      </c>
    </row>
    <row r="5">
      <c r="A5" s="0" t="inlineStr">
        <is>
          <t xml:space="preserve">Placebo</t>
        </is>
      </c>
      <c r="B5" s="2">
        <v>6</v>
      </c>
      <c r="C5" s="2">
        <v>13</v>
      </c>
      <c r="D5" s="2">
        <v>8</v>
      </c>
      <c r="E5" s="3">
        <f>SUM(B5:D5)</f>
        <v>27</v>
      </c>
    </row>
    <row r="6">
      <c r="A6" s="0" t="inlineStr">
        <is>
          <t xml:space="preserve">Tratamiento</t>
        </is>
      </c>
      <c r="B6" s="2">
        <v>51</v>
      </c>
      <c r="C6" s="2">
        <v>88</v>
      </c>
      <c r="D6" s="2">
        <v>81</v>
      </c>
      <c r="E6" s="3">
        <f>SUM(B6:D6)</f>
        <v>220</v>
      </c>
    </row>
    <row r="7">
      <c r="A7" s="1" t="inlineStr">
        <is>
          <t xml:space="preserve">TOTAL</t>
        </is>
      </c>
      <c r="B7" s="3">
        <f>SUM(B5:B6)</f>
        <v>57</v>
      </c>
      <c r="C7" s="3">
        <f>SUM(C5:C6)</f>
        <v>101</v>
      </c>
      <c r="D7" s="3">
        <f>SUM(D5:D6)</f>
        <v>89</v>
      </c>
      <c r="E7" s="3">
        <f>SUM(E5:E6)</f>
        <v>247</v>
      </c>
    </row>
    <row r="11">
      <c r="A11" s="1" t="inlineStr">
        <is>
          <t xml:space="preserve">Esperados</t>
        </is>
      </c>
      <c r="B11" s="1" t="inlineStr">
        <is>
          <t xml:space="preserve">Empeoramiento</t>
        </is>
      </c>
      <c r="C11" s="1" t="inlineStr">
        <is>
          <t xml:space="preserve">Mejoría</t>
        </is>
      </c>
      <c r="D11" s="1" t="inlineStr">
        <is>
          <t xml:space="preserve">Sin cambio</t>
        </is>
      </c>
    </row>
    <row r="12">
      <c r="A12" s="0" t="inlineStr">
        <is>
          <t xml:space="preserve">Placebo</t>
        </is>
      </c>
      <c r="B12" s="3">
        <f>$E5*B$7/$E$7</f>
        <v>6.230769230769231</v>
      </c>
      <c r="C12" s="3">
        <f>$E5*C$7/$E$7</f>
        <v>11.040485829959515</v>
      </c>
      <c r="D12" s="3">
        <f>$E5*D$7/$E$7</f>
        <v>9.728744939271255</v>
      </c>
    </row>
    <row r="13">
      <c r="A13" s="0" t="inlineStr">
        <is>
          <t xml:space="preserve">Tratamiento</t>
        </is>
      </c>
      <c r="B13" s="3">
        <f>$E6*B$7/$E$7</f>
        <v>50.76923076923077</v>
      </c>
      <c r="C13" s="3">
        <f>$E6*C$7/$E$7</f>
        <v>89.95951417004049</v>
      </c>
      <c r="D13" s="3">
        <f>$E6*D$7/$E$7</f>
        <v>79.27125506072875</v>
      </c>
    </row>
    <row r="17">
      <c r="A17" s="1" t="inlineStr">
        <is>
          <t xml:space="preserve">Contribución χ²</t>
        </is>
      </c>
      <c r="B17" s="1" t="inlineStr">
        <is>
          <t xml:space="preserve">Empeoramiento</t>
        </is>
      </c>
      <c r="C17" s="1" t="inlineStr">
        <is>
          <t xml:space="preserve">Mejoría</t>
        </is>
      </c>
      <c r="D17" s="1" t="inlineStr">
        <is>
          <t xml:space="preserve">Sin cambio</t>
        </is>
      </c>
    </row>
    <row r="18">
      <c r="A18" s="0" t="inlineStr">
        <is>
          <t xml:space="preserve">Placebo</t>
        </is>
      </c>
      <c r="B18" s="3">
        <f>(B5-B12)^2/B12</f>
        <v>0.008547008547008551</v>
      </c>
      <c r="C18" s="3">
        <f>(C5-C12)^2/C12</f>
        <v>0.34778322636582126</v>
      </c>
      <c r="D18" s="3">
        <f>(D5-D12)^2/D12</f>
        <v>0.30718855142273244</v>
      </c>
    </row>
    <row r="19">
      <c r="A19" s="0" t="inlineStr">
        <is>
          <t xml:space="preserve">Tratamiento</t>
        </is>
      </c>
      <c r="B19" s="3">
        <f>(B6-B13)^2/B13</f>
        <v>0.0010489510489510739</v>
      </c>
      <c r="C19" s="3">
        <f>(C6-C13)^2/C13</f>
        <v>0.04268248687216927</v>
      </c>
      <c r="D19" s="3">
        <f>(D6-D13)^2/D13</f>
        <v>0.03770041312915337</v>
      </c>
    </row>
    <row r="23">
      <c r="A23" s="0" t="inlineStr">
        <is>
          <t xml:space="preserve">χ²</t>
        </is>
      </c>
      <c r="B23" s="3">
        <f>SUM(B18:D19)</f>
        <v>0.744950637385836</v>
      </c>
    </row>
    <row r="24">
      <c r="A24" s="0" t="inlineStr">
        <is>
          <t xml:space="preserve">Grados de libertad</t>
        </is>
      </c>
      <c r="B24" s="0">
        <v>2</v>
      </c>
    </row>
    <row r="25">
      <c r="A25" s="0" t="inlineStr">
        <is>
          <t xml:space="preserve">Valor p</t>
        </is>
      </c>
      <c r="B25" s="3">
        <f>CHITEST(B5:D6,B12:D13)</f>
        <v>0.6890266574265361</v>
      </c>
    </row>
    <row r="26">
      <c r="A26" s="0" t="inlineStr">
        <is>
          <t xml:space="preserve">α</t>
        </is>
      </c>
      <c r="B26" s="2">
        <v>0.05</v>
      </c>
    </row>
    <row r="27">
      <c r="A27" s="0" t="inlineStr">
        <is>
          <t xml:space="preserve">Decisión</t>
        </is>
      </c>
      <c r="B27" s="3" t="str">
        <f>IF(B25&lt;B26,"Rechazar H0","No rechazar H0")</f>
        <v>No rechazar H0</v>
      </c>
    </row>
    <row r="28">
      <c r="A28" s="0" t="inlineStr">
        <is>
          <t xml:space="preserve">V Cramér</t>
        </is>
      </c>
      <c r="B28" s="3">
        <f>SQRT(B23/(E7*MIN(1,2)))</f>
        <v>0.0549180706447656</v>
      </c>
    </row>
    <row r="31">
      <c r="A31" s="1" t="inlineStr">
        <is>
          <t xml:space="preserve">Proporciones por grupo</t>
        </is>
      </c>
      <c r="B31" s="1" t="inlineStr">
        <is>
          <t xml:space="preserve">Empeoramiento</t>
        </is>
      </c>
      <c r="C31" s="1" t="inlineStr">
        <is>
          <t xml:space="preserve">Mejoría</t>
        </is>
      </c>
      <c r="D31" s="1" t="inlineStr">
        <is>
          <t xml:space="preserve">Sin cambio</t>
        </is>
      </c>
    </row>
    <row r="32">
      <c r="A32" s="0" t="inlineStr">
        <is>
          <t xml:space="preserve">Placebo</t>
        </is>
      </c>
      <c r="B32" s="3">
        <f>B5/$E5</f>
        <v>0.2222222222222222</v>
      </c>
      <c r="C32" s="3">
        <f>C5/$E5</f>
        <v>0.48148148148148145</v>
      </c>
      <c r="D32" s="3">
        <f>D5/$E5</f>
        <v>0.2962962962962963</v>
      </c>
    </row>
    <row r="33">
      <c r="A33" s="0" t="inlineStr">
        <is>
          <t xml:space="preserve">Tratamiento</t>
        </is>
      </c>
      <c r="B33" s="3">
        <f>B6/$E6</f>
        <v>0.2318181818181818</v>
      </c>
      <c r="C33" s="3">
        <f>C6/$E6</f>
        <v>0.4</v>
      </c>
      <c r="D33" s="3">
        <f>D6/$E6</f>
        <v>0.36818181818181817</v>
      </c>
    </row>
  </sheetData>
  <pageMargins left="0.4" right="0.4" top="0.5" bottom="0.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32" customWidth="1"/>
    <col min="2" max="2" width="22" customWidth="1"/>
    <col min="3" max="3" width="22" customWidth="1"/>
    <col min="4" max="4" width="22" customWidth="1"/>
    <col min="5" max="5" width="18" customWidth="1"/>
  </cols>
  <sheetData>
    <row r="1">
      <c r="A1" s="1" t="inlineStr">
        <is>
          <t xml:space="preserve">Chi ABC</t>
        </is>
      </c>
    </row>
    <row r="2">
      <c r="A2" s="0" t="inlineStr">
        <is>
          <t xml:space="preserve">Tratamientos sin placebo. Coincide con la base Muestra. χ² global no identifica parejas diferentes.</t>
        </is>
      </c>
    </row>
    <row r="4">
      <c r="A4" s="1" t="inlineStr">
        <is>
          <t xml:space="preserve">Grupo</t>
        </is>
      </c>
      <c r="B4" s="1" t="inlineStr">
        <is>
          <t xml:space="preserve">Empeoramiento</t>
        </is>
      </c>
      <c r="C4" s="1" t="inlineStr">
        <is>
          <t xml:space="preserve">Mejoría</t>
        </is>
      </c>
      <c r="D4" s="1" t="inlineStr">
        <is>
          <t xml:space="preserve">Sin cambio</t>
        </is>
      </c>
      <c r="E4" s="1" t="inlineStr">
        <is>
          <t xml:space="preserve">Total</t>
        </is>
      </c>
    </row>
    <row r="5">
      <c r="A5" s="0" t="inlineStr">
        <is>
          <t xml:space="preserve">A</t>
        </is>
      </c>
      <c r="B5" s="2">
        <v>9</v>
      </c>
      <c r="C5" s="2">
        <v>36</v>
      </c>
      <c r="D5" s="2">
        <v>29</v>
      </c>
      <c r="E5" s="3">
        <f>SUM(B5:D5)</f>
        <v>74</v>
      </c>
    </row>
    <row r="6">
      <c r="A6" s="0" t="inlineStr">
        <is>
          <t xml:space="preserve">B</t>
        </is>
      </c>
      <c r="B6" s="2">
        <v>21</v>
      </c>
      <c r="C6" s="2">
        <v>23</v>
      </c>
      <c r="D6" s="2">
        <v>30</v>
      </c>
      <c r="E6" s="3">
        <f>SUM(B6:D6)</f>
        <v>74</v>
      </c>
    </row>
    <row r="7">
      <c r="A7" s="0" t="inlineStr">
        <is>
          <t xml:space="preserve">C</t>
        </is>
      </c>
      <c r="B7" s="2">
        <v>21</v>
      </c>
      <c r="C7" s="2">
        <v>29</v>
      </c>
      <c r="D7" s="2">
        <v>22</v>
      </c>
      <c r="E7" s="3">
        <f>SUM(B7:D7)</f>
        <v>72</v>
      </c>
    </row>
    <row r="8">
      <c r="A8" s="1" t="inlineStr">
        <is>
          <t xml:space="preserve">TOTAL</t>
        </is>
      </c>
      <c r="B8" s="3">
        <f>SUM(B5:B7)</f>
        <v>51</v>
      </c>
      <c r="C8" s="3">
        <f>SUM(C5:C7)</f>
        <v>88</v>
      </c>
      <c r="D8" s="3">
        <f>SUM(D5:D7)</f>
        <v>81</v>
      </c>
      <c r="E8" s="3">
        <f>SUM(E5:E7)</f>
        <v>220</v>
      </c>
    </row>
    <row r="11">
      <c r="A11" s="1" t="inlineStr">
        <is>
          <t xml:space="preserve">Esperados</t>
        </is>
      </c>
      <c r="B11" s="1" t="inlineStr">
        <is>
          <t xml:space="preserve">Empeoramiento</t>
        </is>
      </c>
      <c r="C11" s="1" t="inlineStr">
        <is>
          <t xml:space="preserve">Mejoría</t>
        </is>
      </c>
      <c r="D11" s="1" t="inlineStr">
        <is>
          <t xml:space="preserve">Sin cambio</t>
        </is>
      </c>
    </row>
    <row r="12">
      <c r="A12" s="0" t="inlineStr">
        <is>
          <t xml:space="preserve">A</t>
        </is>
      </c>
      <c r="B12" s="3">
        <f>$E5*B$8/$E$8</f>
        <v>17.154545454545456</v>
      </c>
      <c r="C12" s="3">
        <f>$E5*C$8/$E$8</f>
        <v>29.6</v>
      </c>
      <c r="D12" s="3">
        <f>$E5*D$8/$E$8</f>
        <v>27.245454545454546</v>
      </c>
    </row>
    <row r="13">
      <c r="A13" s="0" t="inlineStr">
        <is>
          <t xml:space="preserve">B</t>
        </is>
      </c>
      <c r="B13" s="3">
        <f>$E6*B$8/$E$8</f>
        <v>17.154545454545456</v>
      </c>
      <c r="C13" s="3">
        <f>$E6*C$8/$E$8</f>
        <v>29.6</v>
      </c>
      <c r="D13" s="3">
        <f>$E6*D$8/$E$8</f>
        <v>27.245454545454546</v>
      </c>
    </row>
    <row r="14">
      <c r="A14" s="0" t="inlineStr">
        <is>
          <t xml:space="preserve">C</t>
        </is>
      </c>
      <c r="B14" s="3">
        <f>$E7*B$8/$E$8</f>
        <v>16.69090909090909</v>
      </c>
      <c r="C14" s="3">
        <f>$E7*C$8/$E$8</f>
        <v>28.8</v>
      </c>
      <c r="D14" s="3">
        <f>$E7*D$8/$E$8</f>
        <v>26.509090909090908</v>
      </c>
    </row>
    <row r="17">
      <c r="A17" s="1" t="inlineStr">
        <is>
          <t xml:space="preserve">Contribución χ²</t>
        </is>
      </c>
      <c r="B17" s="1" t="inlineStr">
        <is>
          <t xml:space="preserve">Empeoramiento</t>
        </is>
      </c>
      <c r="C17" s="1" t="inlineStr">
        <is>
          <t xml:space="preserve">Mejoría</t>
        </is>
      </c>
      <c r="D17" s="1" t="inlineStr">
        <is>
          <t xml:space="preserve">Sin cambio</t>
        </is>
      </c>
    </row>
    <row r="18">
      <c r="A18" s="0" t="inlineStr">
        <is>
          <t xml:space="preserve">A</t>
        </is>
      </c>
      <c r="B18" s="3">
        <f>(B5-B12)^2/B12</f>
        <v>3.8763260586790014</v>
      </c>
      <c r="C18" s="3">
        <f>(C5-C12)^2/C12</f>
        <v>1.383783783783783</v>
      </c>
      <c r="D18" s="3">
        <f>(D5-D12)^2/D12</f>
        <v>0.11298874632207957</v>
      </c>
    </row>
    <row r="19">
      <c r="A19" s="0" t="inlineStr">
        <is>
          <t xml:space="preserve">B</t>
        </is>
      </c>
      <c r="B19" s="3">
        <f>(B6-B13)^2/B13</f>
        <v>0.8620176326058671</v>
      </c>
      <c r="C19" s="3">
        <f>(C6-C13)^2/C13</f>
        <v>1.471621621621622</v>
      </c>
      <c r="D19" s="3">
        <f>(D6-D13)^2/D13</f>
        <v>0.2784875784875783</v>
      </c>
    </row>
    <row r="20">
      <c r="A20" s="0" t="inlineStr">
        <is>
          <t xml:space="preserve">C</t>
        </is>
      </c>
      <c r="B20" s="3">
        <f>(B7-B14)^2/B14</f>
        <v>1.1124777183600711</v>
      </c>
      <c r="C20" s="3">
        <f>(C7-C14)^2/C14</f>
        <v>0.001388888888888879</v>
      </c>
      <c r="D20" s="3">
        <f>(D7-D14)^2/D14</f>
        <v>0.7669784262376851</v>
      </c>
    </row>
    <row r="23">
      <c r="A23" s="0" t="inlineStr">
        <is>
          <t xml:space="preserve">χ²</t>
        </is>
      </c>
      <c r="B23" s="3">
        <f>SUM(B18:D20)</f>
        <v>9.866070454986575</v>
      </c>
    </row>
    <row r="24">
      <c r="A24" s="0" t="inlineStr">
        <is>
          <t xml:space="preserve">Grados de libertad</t>
        </is>
      </c>
      <c r="B24" s="0">
        <v>4</v>
      </c>
    </row>
    <row r="25">
      <c r="A25" s="0" t="inlineStr">
        <is>
          <t xml:space="preserve">Valor p</t>
        </is>
      </c>
      <c r="B25" s="3">
        <f>CHITEST(B5:D7,B12:D14)</f>
        <v>0.04274516015816675</v>
      </c>
    </row>
    <row r="26">
      <c r="A26" s="0" t="inlineStr">
        <is>
          <t xml:space="preserve">α</t>
        </is>
      </c>
      <c r="B26" s="2">
        <v>0.05</v>
      </c>
    </row>
    <row r="27">
      <c r="A27" s="0" t="inlineStr">
        <is>
          <t xml:space="preserve">Decisión</t>
        </is>
      </c>
      <c r="B27" s="3" t="str">
        <f>IF(B25&lt;B26,"Rechazar H0","No rechazar H0")</f>
        <v>Rechazar H0</v>
      </c>
    </row>
    <row r="28">
      <c r="A28" s="0" t="inlineStr">
        <is>
          <t xml:space="preserve">V Cramér</t>
        </is>
      </c>
      <c r="B28" s="3">
        <f>SQRT(B23/(E8*MIN(2,2)))</f>
        <v>0.14974273737880167</v>
      </c>
    </row>
    <row r="31">
      <c r="A31" s="1" t="inlineStr">
        <is>
          <t xml:space="preserve">Proporciones por grupo</t>
        </is>
      </c>
      <c r="B31" s="1" t="inlineStr">
        <is>
          <t xml:space="preserve">Empeoramiento</t>
        </is>
      </c>
      <c r="C31" s="1" t="inlineStr">
        <is>
          <t xml:space="preserve">Mejoría</t>
        </is>
      </c>
      <c r="D31" s="1" t="inlineStr">
        <is>
          <t xml:space="preserve">Sin cambio</t>
        </is>
      </c>
    </row>
    <row r="32">
      <c r="A32" s="0" t="inlineStr">
        <is>
          <t xml:space="preserve">A</t>
        </is>
      </c>
      <c r="B32" s="3">
        <f>B5/$E5</f>
        <v>0.12162162162162163</v>
      </c>
      <c r="C32" s="3">
        <f>C5/$E5</f>
        <v>0.4864864864864865</v>
      </c>
      <c r="D32" s="3">
        <f>D5/$E5</f>
        <v>0.3918918918918919</v>
      </c>
    </row>
    <row r="33">
      <c r="A33" s="0" t="inlineStr">
        <is>
          <t xml:space="preserve">B</t>
        </is>
      </c>
      <c r="B33" s="3">
        <f>B6/$E6</f>
        <v>0.28378378378378377</v>
      </c>
      <c r="C33" s="3">
        <f>C6/$E6</f>
        <v>0.3108108108108108</v>
      </c>
      <c r="D33" s="3">
        <f>D6/$E6</f>
        <v>0.40540540540540543</v>
      </c>
    </row>
    <row r="34">
      <c r="A34" s="0" t="inlineStr">
        <is>
          <t xml:space="preserve">C</t>
        </is>
      </c>
      <c r="B34" s="3">
        <f>B7/$E7</f>
        <v>0.2916666666666667</v>
      </c>
      <c r="C34" s="3">
        <f>C7/$E7</f>
        <v>0.4027777777777778</v>
      </c>
      <c r="D34" s="3">
        <f>D7/$E7</f>
        <v>0.3055555555555556</v>
      </c>
    </row>
  </sheetData>
  <pageMargins left="0.4" right="0.4" top="0.5" bottom="0.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15" customWidth="1"/>
    <col min="2" max="2" width="26" customWidth="1"/>
    <col min="3" max="3" width="20" customWidth="1"/>
    <col min="4" max="4" width="25" customWidth="1"/>
  </cols>
  <sheetData>
    <row r="1">
      <c r="A1" s="1" t="inlineStr">
        <is>
          <t xml:space="preserve">Datos individuales · Muestra</t>
        </is>
      </c>
    </row>
    <row r="2">
      <c r="A2" s="0" t="inlineStr">
        <is>
          <t xml:space="preserve">247 registros del archivo Chi cuadrado. Fuente para construir y actualizar una tabla dinámica.</t>
        </is>
      </c>
    </row>
    <row r="4">
      <c r="A4" s="1" t="inlineStr">
        <is>
          <t xml:space="preserve">ID</t>
        </is>
      </c>
      <c r="B4" s="1" t="inlineStr">
        <is>
          <t xml:space="preserve">Tratamiento - Placebo</t>
        </is>
      </c>
      <c r="C4" s="1" t="inlineStr">
        <is>
          <t xml:space="preserve">Tratamiento</t>
        </is>
      </c>
      <c r="D4" s="1" t="inlineStr">
        <is>
          <t xml:space="preserve">Resultado</t>
        </is>
      </c>
    </row>
    <row r="5">
      <c r="A5" s="2">
        <v>1</v>
      </c>
      <c r="B5" s="2" t="inlineStr">
        <is>
          <t xml:space="preserve">T</t>
        </is>
      </c>
      <c r="C5" s="2" t="inlineStr">
        <is>
          <t xml:space="preserve">A</t>
        </is>
      </c>
      <c r="D5" s="2" t="inlineStr">
        <is>
          <t xml:space="preserve">Mejoría</t>
        </is>
      </c>
    </row>
    <row r="6">
      <c r="A6" s="2">
        <v>2</v>
      </c>
      <c r="B6" s="2" t="inlineStr">
        <is>
          <t xml:space="preserve">T</t>
        </is>
      </c>
      <c r="C6" s="2" t="inlineStr">
        <is>
          <t xml:space="preserve">A</t>
        </is>
      </c>
      <c r="D6" s="2" t="inlineStr">
        <is>
          <t xml:space="preserve">Sin cambio</t>
        </is>
      </c>
    </row>
    <row r="7">
      <c r="A7" s="2">
        <v>3</v>
      </c>
      <c r="B7" s="2" t="inlineStr">
        <is>
          <t xml:space="preserve">T</t>
        </is>
      </c>
      <c r="C7" s="2" t="inlineStr">
        <is>
          <t xml:space="preserve">B</t>
        </is>
      </c>
      <c r="D7" s="2" t="inlineStr">
        <is>
          <t xml:space="preserve">Mejoría</t>
        </is>
      </c>
    </row>
    <row r="8">
      <c r="A8" s="2">
        <v>4</v>
      </c>
      <c r="B8" s="2" t="inlineStr">
        <is>
          <t xml:space="preserve">T</t>
        </is>
      </c>
      <c r="C8" s="2" t="inlineStr">
        <is>
          <t xml:space="preserve">C</t>
        </is>
      </c>
      <c r="D8" s="2" t="inlineStr">
        <is>
          <t xml:space="preserve">Empeoramiento</t>
        </is>
      </c>
    </row>
    <row r="9">
      <c r="A9" s="2">
        <v>5</v>
      </c>
      <c r="B9" s="2" t="inlineStr">
        <is>
          <t xml:space="preserve">T</t>
        </is>
      </c>
      <c r="C9" s="2" t="inlineStr">
        <is>
          <t xml:space="preserve">B</t>
        </is>
      </c>
      <c r="D9" s="2" t="inlineStr">
        <is>
          <t xml:space="preserve">Sin cambio</t>
        </is>
      </c>
    </row>
    <row r="10">
      <c r="A10" s="2">
        <v>6</v>
      </c>
      <c r="B10" s="2" t="inlineStr">
        <is>
          <t xml:space="preserve">T</t>
        </is>
      </c>
      <c r="C10" s="2" t="inlineStr">
        <is>
          <t xml:space="preserve">A</t>
        </is>
      </c>
      <c r="D10" s="2" t="inlineStr">
        <is>
          <t xml:space="preserve">Mejoría</t>
        </is>
      </c>
    </row>
    <row r="11">
      <c r="A11" s="2">
        <v>7</v>
      </c>
      <c r="B11" s="2" t="inlineStr">
        <is>
          <t xml:space="preserve">T</t>
        </is>
      </c>
      <c r="C11" s="2" t="inlineStr">
        <is>
          <t xml:space="preserve">C</t>
        </is>
      </c>
      <c r="D11" s="2" t="inlineStr">
        <is>
          <t xml:space="preserve">Sin cambio</t>
        </is>
      </c>
    </row>
    <row r="12">
      <c r="A12" s="2">
        <v>8</v>
      </c>
      <c r="B12" s="2" t="inlineStr">
        <is>
          <t xml:space="preserve">T</t>
        </is>
      </c>
      <c r="C12" s="2" t="inlineStr">
        <is>
          <t xml:space="preserve">B</t>
        </is>
      </c>
      <c r="D12" s="2" t="inlineStr">
        <is>
          <t xml:space="preserve">Mejoría</t>
        </is>
      </c>
    </row>
    <row r="13">
      <c r="A13" s="2">
        <v>9</v>
      </c>
      <c r="B13" s="2" t="inlineStr">
        <is>
          <t xml:space="preserve">T</t>
        </is>
      </c>
      <c r="C13" s="2" t="inlineStr">
        <is>
          <t xml:space="preserve">A</t>
        </is>
      </c>
      <c r="D13" s="2" t="inlineStr">
        <is>
          <t xml:space="preserve">Empeoramiento</t>
        </is>
      </c>
    </row>
    <row r="14">
      <c r="A14" s="2">
        <v>10</v>
      </c>
      <c r="B14" s="2" t="inlineStr">
        <is>
          <t xml:space="preserve">T</t>
        </is>
      </c>
      <c r="C14" s="2" t="inlineStr">
        <is>
          <t xml:space="preserve">C</t>
        </is>
      </c>
      <c r="D14" s="2" t="inlineStr">
        <is>
          <t xml:space="preserve">Mejoría</t>
        </is>
      </c>
    </row>
    <row r="15">
      <c r="A15" s="2">
        <v>11</v>
      </c>
      <c r="B15" s="2" t="inlineStr">
        <is>
          <t xml:space="preserve">T</t>
        </is>
      </c>
      <c r="C15" s="2" t="inlineStr">
        <is>
          <t xml:space="preserve">B</t>
        </is>
      </c>
      <c r="D15" s="2" t="inlineStr">
        <is>
          <t xml:space="preserve">Sin cambio</t>
        </is>
      </c>
    </row>
    <row r="16">
      <c r="A16" s="2">
        <v>12</v>
      </c>
      <c r="B16" s="2" t="inlineStr">
        <is>
          <t xml:space="preserve">T</t>
        </is>
      </c>
      <c r="C16" s="2" t="inlineStr">
        <is>
          <t xml:space="preserve">A</t>
        </is>
      </c>
      <c r="D16" s="2" t="inlineStr">
        <is>
          <t xml:space="preserve">Mejoría</t>
        </is>
      </c>
    </row>
    <row r="17">
      <c r="A17" s="2">
        <v>13</v>
      </c>
      <c r="B17" s="2" t="inlineStr">
        <is>
          <t xml:space="preserve">T</t>
        </is>
      </c>
      <c r="C17" s="2" t="inlineStr">
        <is>
          <t xml:space="preserve">C</t>
        </is>
      </c>
      <c r="D17" s="2" t="inlineStr">
        <is>
          <t xml:space="preserve">Sin cambio</t>
        </is>
      </c>
    </row>
    <row r="18">
      <c r="A18" s="2">
        <v>14</v>
      </c>
      <c r="B18" s="2" t="inlineStr">
        <is>
          <t xml:space="preserve">T</t>
        </is>
      </c>
      <c r="C18" s="2" t="inlineStr">
        <is>
          <t xml:space="preserve">B</t>
        </is>
      </c>
      <c r="D18" s="2" t="inlineStr">
        <is>
          <t xml:space="preserve">Empeoramiento</t>
        </is>
      </c>
    </row>
    <row r="19">
      <c r="A19" s="2">
        <v>15</v>
      </c>
      <c r="B19" s="2" t="inlineStr">
        <is>
          <t xml:space="preserve">T</t>
        </is>
      </c>
      <c r="C19" s="2" t="inlineStr">
        <is>
          <t xml:space="preserve">A</t>
        </is>
      </c>
      <c r="D19" s="2" t="inlineStr">
        <is>
          <t xml:space="preserve">Sin cambio</t>
        </is>
      </c>
    </row>
    <row r="20">
      <c r="A20" s="2">
        <v>16</v>
      </c>
      <c r="B20" s="2" t="inlineStr">
        <is>
          <t xml:space="preserve">T</t>
        </is>
      </c>
      <c r="C20" s="2" t="inlineStr">
        <is>
          <t xml:space="preserve">B</t>
        </is>
      </c>
      <c r="D20" s="2" t="inlineStr">
        <is>
          <t xml:space="preserve">Mejoría</t>
        </is>
      </c>
    </row>
    <row r="21">
      <c r="A21" s="2">
        <v>17</v>
      </c>
      <c r="B21" s="2" t="inlineStr">
        <is>
          <t xml:space="preserve">T</t>
        </is>
      </c>
      <c r="C21" s="2" t="inlineStr">
        <is>
          <t xml:space="preserve">C</t>
        </is>
      </c>
      <c r="D21" s="2" t="inlineStr">
        <is>
          <t xml:space="preserve">Mejoría</t>
        </is>
      </c>
    </row>
    <row r="22">
      <c r="A22" s="2">
        <v>18</v>
      </c>
      <c r="B22" s="2" t="inlineStr">
        <is>
          <t xml:space="preserve">T</t>
        </is>
      </c>
      <c r="C22" s="2" t="inlineStr">
        <is>
          <t xml:space="preserve">A</t>
        </is>
      </c>
      <c r="D22" s="2" t="inlineStr">
        <is>
          <t xml:space="preserve">Empeoramiento</t>
        </is>
      </c>
    </row>
    <row r="23">
      <c r="A23" s="2">
        <v>19</v>
      </c>
      <c r="B23" s="2" t="inlineStr">
        <is>
          <t xml:space="preserve">T</t>
        </is>
      </c>
      <c r="C23" s="2" t="inlineStr">
        <is>
          <t xml:space="preserve">B</t>
        </is>
      </c>
      <c r="D23" s="2" t="inlineStr">
        <is>
          <t xml:space="preserve">Sin cambio</t>
        </is>
      </c>
    </row>
    <row r="24">
      <c r="A24" s="2">
        <v>20</v>
      </c>
      <c r="B24" s="2" t="inlineStr">
        <is>
          <t xml:space="preserve">T</t>
        </is>
      </c>
      <c r="C24" s="2" t="inlineStr">
        <is>
          <t xml:space="preserve">C</t>
        </is>
      </c>
      <c r="D24" s="2" t="inlineStr">
        <is>
          <t xml:space="preserve">Empeoramiento</t>
        </is>
      </c>
    </row>
    <row r="25">
      <c r="A25" s="2">
        <v>21</v>
      </c>
      <c r="B25" s="2" t="inlineStr">
        <is>
          <t xml:space="preserve">T</t>
        </is>
      </c>
      <c r="C25" s="2" t="inlineStr">
        <is>
          <t xml:space="preserve">A</t>
        </is>
      </c>
      <c r="D25" s="2" t="inlineStr">
        <is>
          <t xml:space="preserve">Mejoría</t>
        </is>
      </c>
    </row>
    <row r="26">
      <c r="A26" s="2">
        <v>22</v>
      </c>
      <c r="B26" s="2" t="inlineStr">
        <is>
          <t xml:space="preserve">T</t>
        </is>
      </c>
      <c r="C26" s="2" t="inlineStr">
        <is>
          <t xml:space="preserve">B</t>
        </is>
      </c>
      <c r="D26" s="2" t="inlineStr">
        <is>
          <t xml:space="preserve">Mejoría</t>
        </is>
      </c>
    </row>
    <row r="27">
      <c r="A27" s="2">
        <v>23</v>
      </c>
      <c r="B27" s="2" t="inlineStr">
        <is>
          <t xml:space="preserve">T</t>
        </is>
      </c>
      <c r="C27" s="2" t="inlineStr">
        <is>
          <t xml:space="preserve">C</t>
        </is>
      </c>
      <c r="D27" s="2" t="inlineStr">
        <is>
          <t xml:space="preserve">Sin cambio</t>
        </is>
      </c>
    </row>
    <row r="28">
      <c r="A28" s="2">
        <v>24</v>
      </c>
      <c r="B28" s="2" t="inlineStr">
        <is>
          <t xml:space="preserve">T</t>
        </is>
      </c>
      <c r="C28" s="2" t="inlineStr">
        <is>
          <t xml:space="preserve">A</t>
        </is>
      </c>
      <c r="D28" s="2" t="inlineStr">
        <is>
          <t xml:space="preserve">Sin cambio</t>
        </is>
      </c>
    </row>
    <row r="29">
      <c r="A29" s="2">
        <v>25</v>
      </c>
      <c r="B29" s="2" t="inlineStr">
        <is>
          <t xml:space="preserve">T</t>
        </is>
      </c>
      <c r="C29" s="2" t="inlineStr">
        <is>
          <t xml:space="preserve">B</t>
        </is>
      </c>
      <c r="D29" s="2" t="inlineStr">
        <is>
          <t xml:space="preserve">Empeoramiento</t>
        </is>
      </c>
    </row>
    <row r="30">
      <c r="A30" s="2">
        <v>26</v>
      </c>
      <c r="B30" s="2" t="inlineStr">
        <is>
          <t xml:space="preserve">T</t>
        </is>
      </c>
      <c r="C30" s="2" t="inlineStr">
        <is>
          <t xml:space="preserve">C</t>
        </is>
      </c>
      <c r="D30" s="2" t="inlineStr">
        <is>
          <t xml:space="preserve">Mejoría</t>
        </is>
      </c>
    </row>
    <row r="31">
      <c r="A31" s="2">
        <v>27</v>
      </c>
      <c r="B31" s="2" t="inlineStr">
        <is>
          <t xml:space="preserve">T</t>
        </is>
      </c>
      <c r="C31" s="2" t="inlineStr">
        <is>
          <t xml:space="preserve">A</t>
        </is>
      </c>
      <c r="D31" s="2" t="inlineStr">
        <is>
          <t xml:space="preserve">Mejoría</t>
        </is>
      </c>
    </row>
    <row r="32">
      <c r="A32" s="2">
        <v>28</v>
      </c>
      <c r="B32" s="2" t="inlineStr">
        <is>
          <t xml:space="preserve">T</t>
        </is>
      </c>
      <c r="C32" s="2" t="inlineStr">
        <is>
          <t xml:space="preserve">B</t>
        </is>
      </c>
      <c r="D32" s="2" t="inlineStr">
        <is>
          <t xml:space="preserve">Sin cambio</t>
        </is>
      </c>
    </row>
    <row r="33">
      <c r="A33" s="2">
        <v>29</v>
      </c>
      <c r="B33" s="2" t="inlineStr">
        <is>
          <t xml:space="preserve">T</t>
        </is>
      </c>
      <c r="C33" s="2" t="inlineStr">
        <is>
          <t xml:space="preserve">C</t>
        </is>
      </c>
      <c r="D33" s="2" t="inlineStr">
        <is>
          <t xml:space="preserve">Empeoramiento</t>
        </is>
      </c>
    </row>
    <row r="34">
      <c r="A34" s="2">
        <v>30</v>
      </c>
      <c r="B34" s="2" t="inlineStr">
        <is>
          <t xml:space="preserve">T</t>
        </is>
      </c>
      <c r="C34" s="2" t="inlineStr">
        <is>
          <t xml:space="preserve">A</t>
        </is>
      </c>
      <c r="D34" s="2" t="inlineStr">
        <is>
          <t xml:space="preserve">Sin cambio</t>
        </is>
      </c>
    </row>
    <row r="35">
      <c r="A35" s="2">
        <v>31</v>
      </c>
      <c r="B35" s="2" t="inlineStr">
        <is>
          <t xml:space="preserve">T</t>
        </is>
      </c>
      <c r="C35" s="2" t="inlineStr">
        <is>
          <t xml:space="preserve">B</t>
        </is>
      </c>
      <c r="D35" s="2" t="inlineStr">
        <is>
          <t xml:space="preserve">Mejoría</t>
        </is>
      </c>
    </row>
    <row r="36">
      <c r="A36" s="2">
        <v>32</v>
      </c>
      <c r="B36" s="2" t="inlineStr">
        <is>
          <t xml:space="preserve">T</t>
        </is>
      </c>
      <c r="C36" s="2" t="inlineStr">
        <is>
          <t xml:space="preserve">C</t>
        </is>
      </c>
      <c r="D36" s="2" t="inlineStr">
        <is>
          <t xml:space="preserve">Sin cambio</t>
        </is>
      </c>
    </row>
    <row r="37">
      <c r="A37" s="2">
        <v>33</v>
      </c>
      <c r="B37" s="2" t="inlineStr">
        <is>
          <t xml:space="preserve">T</t>
        </is>
      </c>
      <c r="C37" s="2" t="inlineStr">
        <is>
          <t xml:space="preserve">A</t>
        </is>
      </c>
      <c r="D37" s="2" t="inlineStr">
        <is>
          <t xml:space="preserve">Mejoría</t>
        </is>
      </c>
    </row>
    <row r="38">
      <c r="A38" s="2">
        <v>34</v>
      </c>
      <c r="B38" s="2" t="inlineStr">
        <is>
          <t xml:space="preserve">T</t>
        </is>
      </c>
      <c r="C38" s="2" t="inlineStr">
        <is>
          <t xml:space="preserve">B</t>
        </is>
      </c>
      <c r="D38" s="2" t="inlineStr">
        <is>
          <t xml:space="preserve">Empeoramiento</t>
        </is>
      </c>
    </row>
    <row r="39">
      <c r="A39" s="2">
        <v>35</v>
      </c>
      <c r="B39" s="2" t="inlineStr">
        <is>
          <t xml:space="preserve">T</t>
        </is>
      </c>
      <c r="C39" s="2" t="inlineStr">
        <is>
          <t xml:space="preserve">C</t>
        </is>
      </c>
      <c r="D39" s="2" t="inlineStr">
        <is>
          <t xml:space="preserve">Mejoría</t>
        </is>
      </c>
    </row>
    <row r="40">
      <c r="A40" s="2">
        <v>36</v>
      </c>
      <c r="B40" s="2" t="inlineStr">
        <is>
          <t xml:space="preserve">T</t>
        </is>
      </c>
      <c r="C40" s="2" t="inlineStr">
        <is>
          <t xml:space="preserve">A</t>
        </is>
      </c>
      <c r="D40" s="2" t="inlineStr">
        <is>
          <t xml:space="preserve">Sin cambio</t>
        </is>
      </c>
    </row>
    <row r="41">
      <c r="A41" s="2">
        <v>37</v>
      </c>
      <c r="B41" s="2" t="inlineStr">
        <is>
          <t xml:space="preserve">T</t>
        </is>
      </c>
      <c r="C41" s="2" t="inlineStr">
        <is>
          <t xml:space="preserve">B</t>
        </is>
      </c>
      <c r="D41" s="2" t="inlineStr">
        <is>
          <t xml:space="preserve">Sin cambio</t>
        </is>
      </c>
    </row>
    <row r="42">
      <c r="A42" s="2">
        <v>38</v>
      </c>
      <c r="B42" s="2" t="inlineStr">
        <is>
          <t xml:space="preserve">T</t>
        </is>
      </c>
      <c r="C42" s="2" t="inlineStr">
        <is>
          <t xml:space="preserve">C</t>
        </is>
      </c>
      <c r="D42" s="2" t="inlineStr">
        <is>
          <t xml:space="preserve">Empeoramiento</t>
        </is>
      </c>
    </row>
    <row r="43">
      <c r="A43" s="2">
        <v>39</v>
      </c>
      <c r="B43" s="2" t="inlineStr">
        <is>
          <t xml:space="preserve">T</t>
        </is>
      </c>
      <c r="C43" s="2" t="inlineStr">
        <is>
          <t xml:space="preserve">A</t>
        </is>
      </c>
      <c r="D43" s="2" t="inlineStr">
        <is>
          <t xml:space="preserve">Mejoría</t>
        </is>
      </c>
    </row>
    <row r="44">
      <c r="A44" s="2">
        <v>40</v>
      </c>
      <c r="B44" s="2" t="inlineStr">
        <is>
          <t xml:space="preserve">T</t>
        </is>
      </c>
      <c r="C44" s="2" t="inlineStr">
        <is>
          <t xml:space="preserve">B</t>
        </is>
      </c>
      <c r="D44" s="2" t="inlineStr">
        <is>
          <t xml:space="preserve">Mejoría</t>
        </is>
      </c>
    </row>
    <row r="45">
      <c r="A45" s="2">
        <v>41</v>
      </c>
      <c r="B45" s="2" t="inlineStr">
        <is>
          <t xml:space="preserve">T</t>
        </is>
      </c>
      <c r="C45" s="2" t="inlineStr">
        <is>
          <t xml:space="preserve">C</t>
        </is>
      </c>
      <c r="D45" s="2" t="inlineStr">
        <is>
          <t xml:space="preserve">Sin cambio</t>
        </is>
      </c>
    </row>
    <row r="46">
      <c r="A46" s="2">
        <v>42</v>
      </c>
      <c r="B46" s="2" t="inlineStr">
        <is>
          <t xml:space="preserve">T</t>
        </is>
      </c>
      <c r="C46" s="2" t="inlineStr">
        <is>
          <t xml:space="preserve">A</t>
        </is>
      </c>
      <c r="D46" s="2" t="inlineStr">
        <is>
          <t xml:space="preserve">Empeoramiento</t>
        </is>
      </c>
    </row>
    <row r="47">
      <c r="A47" s="2">
        <v>43</v>
      </c>
      <c r="B47" s="2" t="inlineStr">
        <is>
          <t xml:space="preserve">T</t>
        </is>
      </c>
      <c r="C47" s="2" t="inlineStr">
        <is>
          <t xml:space="preserve">B</t>
        </is>
      </c>
      <c r="D47" s="2" t="inlineStr">
        <is>
          <t xml:space="preserve">Sin cambio</t>
        </is>
      </c>
    </row>
    <row r="48">
      <c r="A48" s="2">
        <v>44</v>
      </c>
      <c r="B48" s="2" t="inlineStr">
        <is>
          <t xml:space="preserve">T</t>
        </is>
      </c>
      <c r="C48" s="2" t="inlineStr">
        <is>
          <t xml:space="preserve">C</t>
        </is>
      </c>
      <c r="D48" s="2" t="inlineStr">
        <is>
          <t xml:space="preserve">Mejoría</t>
        </is>
      </c>
    </row>
    <row r="49">
      <c r="A49" s="2">
        <v>45</v>
      </c>
      <c r="B49" s="2" t="inlineStr">
        <is>
          <t xml:space="preserve">T</t>
        </is>
      </c>
      <c r="C49" s="2" t="inlineStr">
        <is>
          <t xml:space="preserve">A</t>
        </is>
      </c>
      <c r="D49" s="2" t="inlineStr">
        <is>
          <t xml:space="preserve">Sin cambio</t>
        </is>
      </c>
    </row>
    <row r="50">
      <c r="A50" s="2">
        <v>46</v>
      </c>
      <c r="B50" s="2" t="inlineStr">
        <is>
          <t xml:space="preserve">T</t>
        </is>
      </c>
      <c r="C50" s="2" t="inlineStr">
        <is>
          <t xml:space="preserve">B</t>
        </is>
      </c>
      <c r="D50" s="2" t="inlineStr">
        <is>
          <t xml:space="preserve">Empeoramiento</t>
        </is>
      </c>
    </row>
    <row r="51">
      <c r="A51" s="2">
        <v>47</v>
      </c>
      <c r="B51" s="2" t="inlineStr">
        <is>
          <t xml:space="preserve">T</t>
        </is>
      </c>
      <c r="C51" s="2" t="inlineStr">
        <is>
          <t xml:space="preserve">C</t>
        </is>
      </c>
      <c r="D51" s="2" t="inlineStr">
        <is>
          <t xml:space="preserve">Mejoría</t>
        </is>
      </c>
    </row>
    <row r="52">
      <c r="A52" s="2">
        <v>48</v>
      </c>
      <c r="B52" s="2" t="inlineStr">
        <is>
          <t xml:space="preserve">T</t>
        </is>
      </c>
      <c r="C52" s="2" t="inlineStr">
        <is>
          <t xml:space="preserve">A</t>
        </is>
      </c>
      <c r="D52" s="2" t="inlineStr">
        <is>
          <t xml:space="preserve">Mejoría</t>
        </is>
      </c>
    </row>
    <row r="53">
      <c r="A53" s="2">
        <v>49</v>
      </c>
      <c r="B53" s="2" t="inlineStr">
        <is>
          <t xml:space="preserve">T</t>
        </is>
      </c>
      <c r="C53" s="2" t="inlineStr">
        <is>
          <t xml:space="preserve">B</t>
        </is>
      </c>
      <c r="D53" s="2" t="inlineStr">
        <is>
          <t xml:space="preserve">Sin cambio</t>
        </is>
      </c>
    </row>
    <row r="54">
      <c r="A54" s="2">
        <v>50</v>
      </c>
      <c r="B54" s="2" t="inlineStr">
        <is>
          <t xml:space="preserve">T</t>
        </is>
      </c>
      <c r="C54" s="2" t="inlineStr">
        <is>
          <t xml:space="preserve">C</t>
        </is>
      </c>
      <c r="D54" s="2" t="inlineStr">
        <is>
          <t xml:space="preserve">Empeoramiento</t>
        </is>
      </c>
    </row>
    <row r="55">
      <c r="A55" s="2">
        <v>51</v>
      </c>
      <c r="B55" s="2" t="inlineStr">
        <is>
          <t xml:space="preserve">T</t>
        </is>
      </c>
      <c r="C55" s="2" t="inlineStr">
        <is>
          <t xml:space="preserve">A</t>
        </is>
      </c>
      <c r="D55" s="2" t="inlineStr">
        <is>
          <t xml:space="preserve">Mejoría</t>
        </is>
      </c>
    </row>
    <row r="56">
      <c r="A56" s="2">
        <v>52</v>
      </c>
      <c r="B56" s="2" t="inlineStr">
        <is>
          <t xml:space="preserve">T</t>
        </is>
      </c>
      <c r="C56" s="2" t="inlineStr">
        <is>
          <t xml:space="preserve">B</t>
        </is>
      </c>
      <c r="D56" s="2" t="inlineStr">
        <is>
          <t xml:space="preserve">Mejoría</t>
        </is>
      </c>
    </row>
    <row r="57">
      <c r="A57" s="2">
        <v>53</v>
      </c>
      <c r="B57" s="2" t="inlineStr">
        <is>
          <t xml:space="preserve">T</t>
        </is>
      </c>
      <c r="C57" s="2" t="inlineStr">
        <is>
          <t xml:space="preserve">C</t>
        </is>
      </c>
      <c r="D57" s="2" t="inlineStr">
        <is>
          <t xml:space="preserve">Sin cambio</t>
        </is>
      </c>
    </row>
    <row r="58">
      <c r="A58" s="2">
        <v>54</v>
      </c>
      <c r="B58" s="2" t="inlineStr">
        <is>
          <t xml:space="preserve">T</t>
        </is>
      </c>
      <c r="C58" s="2" t="inlineStr">
        <is>
          <t xml:space="preserve">A</t>
        </is>
      </c>
      <c r="D58" s="2" t="inlineStr">
        <is>
          <t xml:space="preserve">Sin cambio</t>
        </is>
      </c>
    </row>
    <row r="59">
      <c r="A59" s="2">
        <v>55</v>
      </c>
      <c r="B59" s="2" t="inlineStr">
        <is>
          <t xml:space="preserve">T</t>
        </is>
      </c>
      <c r="C59" s="2" t="inlineStr">
        <is>
          <t xml:space="preserve">B</t>
        </is>
      </c>
      <c r="D59" s="2" t="inlineStr">
        <is>
          <t xml:space="preserve">Empeoramiento</t>
        </is>
      </c>
    </row>
    <row r="60">
      <c r="A60" s="2">
        <v>56</v>
      </c>
      <c r="B60" s="2" t="inlineStr">
        <is>
          <t xml:space="preserve">T</t>
        </is>
      </c>
      <c r="C60" s="2" t="inlineStr">
        <is>
          <t xml:space="preserve">C</t>
        </is>
      </c>
      <c r="D60" s="2" t="inlineStr">
        <is>
          <t xml:space="preserve">Mejoría</t>
        </is>
      </c>
    </row>
    <row r="61">
      <c r="A61" s="2">
        <v>57</v>
      </c>
      <c r="B61" s="2" t="inlineStr">
        <is>
          <t xml:space="preserve">T</t>
        </is>
      </c>
      <c r="C61" s="2" t="inlineStr">
        <is>
          <t xml:space="preserve">A</t>
        </is>
      </c>
      <c r="D61" s="2" t="inlineStr">
        <is>
          <t xml:space="preserve">Mejoría</t>
        </is>
      </c>
    </row>
    <row r="62">
      <c r="A62" s="2">
        <v>58</v>
      </c>
      <c r="B62" s="2" t="inlineStr">
        <is>
          <t xml:space="preserve">T</t>
        </is>
      </c>
      <c r="C62" s="2" t="inlineStr">
        <is>
          <t xml:space="preserve">B</t>
        </is>
      </c>
      <c r="D62" s="2" t="inlineStr">
        <is>
          <t xml:space="preserve">Sin cambio</t>
        </is>
      </c>
    </row>
    <row r="63">
      <c r="A63" s="2">
        <v>59</v>
      </c>
      <c r="B63" s="2" t="inlineStr">
        <is>
          <t xml:space="preserve">T</t>
        </is>
      </c>
      <c r="C63" s="2" t="inlineStr">
        <is>
          <t xml:space="preserve">C</t>
        </is>
      </c>
      <c r="D63" s="2" t="inlineStr">
        <is>
          <t xml:space="preserve">Empeoramiento</t>
        </is>
      </c>
    </row>
    <row r="64">
      <c r="A64" s="2">
        <v>60</v>
      </c>
      <c r="B64" s="2" t="inlineStr">
        <is>
          <t xml:space="preserve">T</t>
        </is>
      </c>
      <c r="C64" s="2" t="inlineStr">
        <is>
          <t xml:space="preserve">A</t>
        </is>
      </c>
      <c r="D64" s="2" t="inlineStr">
        <is>
          <t xml:space="preserve">Sin cambio</t>
        </is>
      </c>
    </row>
    <row r="65">
      <c r="A65" s="2">
        <v>61</v>
      </c>
      <c r="B65" s="2" t="inlineStr">
        <is>
          <t xml:space="preserve">T</t>
        </is>
      </c>
      <c r="C65" s="2" t="inlineStr">
        <is>
          <t xml:space="preserve">B</t>
        </is>
      </c>
      <c r="D65" s="2" t="inlineStr">
        <is>
          <t xml:space="preserve">Mejoría</t>
        </is>
      </c>
    </row>
    <row r="66">
      <c r="A66" s="2">
        <v>62</v>
      </c>
      <c r="B66" s="2" t="inlineStr">
        <is>
          <t xml:space="preserve">T</t>
        </is>
      </c>
      <c r="C66" s="2" t="inlineStr">
        <is>
          <t xml:space="preserve">C</t>
        </is>
      </c>
      <c r="D66" s="2" t="inlineStr">
        <is>
          <t xml:space="preserve">Sin cambio</t>
        </is>
      </c>
    </row>
    <row r="67">
      <c r="A67" s="2">
        <v>63</v>
      </c>
      <c r="B67" s="2" t="inlineStr">
        <is>
          <t xml:space="preserve">T</t>
        </is>
      </c>
      <c r="C67" s="2" t="inlineStr">
        <is>
          <t xml:space="preserve">A</t>
        </is>
      </c>
      <c r="D67" s="2" t="inlineStr">
        <is>
          <t xml:space="preserve">Empeoramiento</t>
        </is>
      </c>
    </row>
    <row r="68">
      <c r="A68" s="2">
        <v>64</v>
      </c>
      <c r="B68" s="2" t="inlineStr">
        <is>
          <t xml:space="preserve">T</t>
        </is>
      </c>
      <c r="C68" s="2" t="inlineStr">
        <is>
          <t xml:space="preserve">B</t>
        </is>
      </c>
      <c r="D68" s="2" t="inlineStr">
        <is>
          <t xml:space="preserve">Sin cambio</t>
        </is>
      </c>
    </row>
    <row r="69">
      <c r="A69" s="2">
        <v>65</v>
      </c>
      <c r="B69" s="2" t="inlineStr">
        <is>
          <t xml:space="preserve">T</t>
        </is>
      </c>
      <c r="C69" s="2" t="inlineStr">
        <is>
          <t xml:space="preserve">C</t>
        </is>
      </c>
      <c r="D69" s="2" t="inlineStr">
        <is>
          <t xml:space="preserve">Mejoría</t>
        </is>
      </c>
    </row>
    <row r="70">
      <c r="A70" s="2">
        <v>66</v>
      </c>
      <c r="B70" s="2" t="inlineStr">
        <is>
          <t xml:space="preserve">T</t>
        </is>
      </c>
      <c r="C70" s="2" t="inlineStr">
        <is>
          <t xml:space="preserve">A</t>
        </is>
      </c>
      <c r="D70" s="2" t="inlineStr">
        <is>
          <t xml:space="preserve">Sin cambio</t>
        </is>
      </c>
    </row>
    <row r="71">
      <c r="A71" s="2">
        <v>67</v>
      </c>
      <c r="B71" s="2" t="inlineStr">
        <is>
          <t xml:space="preserve">T</t>
        </is>
      </c>
      <c r="C71" s="2" t="inlineStr">
        <is>
          <t xml:space="preserve">B</t>
        </is>
      </c>
      <c r="D71" s="2" t="inlineStr">
        <is>
          <t xml:space="preserve">Empeoramiento</t>
        </is>
      </c>
    </row>
    <row r="72">
      <c r="A72" s="2">
        <v>68</v>
      </c>
      <c r="B72" s="2" t="inlineStr">
        <is>
          <t xml:space="preserve">T</t>
        </is>
      </c>
      <c r="C72" s="2" t="inlineStr">
        <is>
          <t xml:space="preserve">C</t>
        </is>
      </c>
      <c r="D72" s="2" t="inlineStr">
        <is>
          <t xml:space="preserve">Mejoría</t>
        </is>
      </c>
    </row>
    <row r="73">
      <c r="A73" s="2">
        <v>69</v>
      </c>
      <c r="B73" s="2" t="inlineStr">
        <is>
          <t xml:space="preserve">T</t>
        </is>
      </c>
      <c r="C73" s="2" t="inlineStr">
        <is>
          <t xml:space="preserve">A</t>
        </is>
      </c>
      <c r="D73" s="2" t="inlineStr">
        <is>
          <t xml:space="preserve">Mejoría</t>
        </is>
      </c>
    </row>
    <row r="74">
      <c r="A74" s="2">
        <v>70</v>
      </c>
      <c r="B74" s="2" t="inlineStr">
        <is>
          <t xml:space="preserve">T</t>
        </is>
      </c>
      <c r="C74" s="2" t="inlineStr">
        <is>
          <t xml:space="preserve">B</t>
        </is>
      </c>
      <c r="D74" s="2" t="inlineStr">
        <is>
          <t xml:space="preserve">Sin cambio</t>
        </is>
      </c>
    </row>
    <row r="75">
      <c r="A75" s="2">
        <v>71</v>
      </c>
      <c r="B75" s="2" t="inlineStr">
        <is>
          <t xml:space="preserve">T</t>
        </is>
      </c>
      <c r="C75" s="2" t="inlineStr">
        <is>
          <t xml:space="preserve">C</t>
        </is>
      </c>
      <c r="D75" s="2" t="inlineStr">
        <is>
          <t xml:space="preserve">Empeoramiento</t>
        </is>
      </c>
    </row>
    <row r="76">
      <c r="A76" s="2">
        <v>72</v>
      </c>
      <c r="B76" s="2" t="inlineStr">
        <is>
          <t xml:space="preserve">T</t>
        </is>
      </c>
      <c r="C76" s="2" t="inlineStr">
        <is>
          <t xml:space="preserve">A</t>
        </is>
      </c>
      <c r="D76" s="2" t="inlineStr">
        <is>
          <t xml:space="preserve">Mejoría</t>
        </is>
      </c>
    </row>
    <row r="77">
      <c r="A77" s="2">
        <v>73</v>
      </c>
      <c r="B77" s="2" t="inlineStr">
        <is>
          <t xml:space="preserve">T</t>
        </is>
      </c>
      <c r="C77" s="2" t="inlineStr">
        <is>
          <t xml:space="preserve">B</t>
        </is>
      </c>
      <c r="D77" s="2" t="inlineStr">
        <is>
          <t xml:space="preserve">Mejoría</t>
        </is>
      </c>
    </row>
    <row r="78">
      <c r="A78" s="2">
        <v>74</v>
      </c>
      <c r="B78" s="2" t="inlineStr">
        <is>
          <t xml:space="preserve">T</t>
        </is>
      </c>
      <c r="C78" s="2" t="inlineStr">
        <is>
          <t xml:space="preserve">C</t>
        </is>
      </c>
      <c r="D78" s="2" t="inlineStr">
        <is>
          <t xml:space="preserve">Sin cambio</t>
        </is>
      </c>
    </row>
    <row r="79">
      <c r="A79" s="2">
        <v>75</v>
      </c>
      <c r="B79" s="2" t="inlineStr">
        <is>
          <t xml:space="preserve">T</t>
        </is>
      </c>
      <c r="C79" s="2" t="inlineStr">
        <is>
          <t xml:space="preserve">A</t>
        </is>
      </c>
      <c r="D79" s="2" t="inlineStr">
        <is>
          <t xml:space="preserve">Sin cambio</t>
        </is>
      </c>
    </row>
    <row r="80">
      <c r="A80" s="2">
        <v>76</v>
      </c>
      <c r="B80" s="2" t="inlineStr">
        <is>
          <t xml:space="preserve">T</t>
        </is>
      </c>
      <c r="C80" s="2" t="inlineStr">
        <is>
          <t xml:space="preserve">B</t>
        </is>
      </c>
      <c r="D80" s="2" t="inlineStr">
        <is>
          <t xml:space="preserve">Empeoramiento</t>
        </is>
      </c>
    </row>
    <row r="81">
      <c r="A81" s="2">
        <v>77</v>
      </c>
      <c r="B81" s="2" t="inlineStr">
        <is>
          <t xml:space="preserve">T</t>
        </is>
      </c>
      <c r="C81" s="2" t="inlineStr">
        <is>
          <t xml:space="preserve">C</t>
        </is>
      </c>
      <c r="D81" s="2" t="inlineStr">
        <is>
          <t xml:space="preserve">Mejoría</t>
        </is>
      </c>
    </row>
    <row r="82">
      <c r="A82" s="2">
        <v>78</v>
      </c>
      <c r="B82" s="2" t="inlineStr">
        <is>
          <t xml:space="preserve">T</t>
        </is>
      </c>
      <c r="C82" s="2" t="inlineStr">
        <is>
          <t xml:space="preserve">A</t>
        </is>
      </c>
      <c r="D82" s="2" t="inlineStr">
        <is>
          <t xml:space="preserve">Mejoría</t>
        </is>
      </c>
    </row>
    <row r="83">
      <c r="A83" s="2">
        <v>79</v>
      </c>
      <c r="B83" s="2" t="inlineStr">
        <is>
          <t xml:space="preserve">T</t>
        </is>
      </c>
      <c r="C83" s="2" t="inlineStr">
        <is>
          <t xml:space="preserve">B</t>
        </is>
      </c>
      <c r="D83" s="2" t="inlineStr">
        <is>
          <t xml:space="preserve">Sin cambio</t>
        </is>
      </c>
    </row>
    <row r="84">
      <c r="A84" s="2">
        <v>80</v>
      </c>
      <c r="B84" s="2" t="inlineStr">
        <is>
          <t xml:space="preserve">T</t>
        </is>
      </c>
      <c r="C84" s="2" t="inlineStr">
        <is>
          <t xml:space="preserve">C</t>
        </is>
      </c>
      <c r="D84" s="2" t="inlineStr">
        <is>
          <t xml:space="preserve">Empeoramiento</t>
        </is>
      </c>
    </row>
    <row r="85">
      <c r="A85" s="2">
        <v>81</v>
      </c>
      <c r="B85" s="2" t="inlineStr">
        <is>
          <t xml:space="preserve">T</t>
        </is>
      </c>
      <c r="C85" s="2" t="inlineStr">
        <is>
          <t xml:space="preserve">A</t>
        </is>
      </c>
      <c r="D85" s="2" t="inlineStr">
        <is>
          <t xml:space="preserve">Mejoría</t>
        </is>
      </c>
    </row>
    <row r="86">
      <c r="A86" s="2">
        <v>82</v>
      </c>
      <c r="B86" s="2" t="inlineStr">
        <is>
          <t xml:space="preserve">T</t>
        </is>
      </c>
      <c r="C86" s="2" t="inlineStr">
        <is>
          <t xml:space="preserve">B</t>
        </is>
      </c>
      <c r="D86" s="2" t="inlineStr">
        <is>
          <t xml:space="preserve">Mejoría</t>
        </is>
      </c>
    </row>
    <row r="87">
      <c r="A87" s="2">
        <v>83</v>
      </c>
      <c r="B87" s="2" t="inlineStr">
        <is>
          <t xml:space="preserve">T</t>
        </is>
      </c>
      <c r="C87" s="2" t="inlineStr">
        <is>
          <t xml:space="preserve">C</t>
        </is>
      </c>
      <c r="D87" s="2" t="inlineStr">
        <is>
          <t xml:space="preserve">Sin cambio</t>
        </is>
      </c>
    </row>
    <row r="88">
      <c r="A88" s="2">
        <v>84</v>
      </c>
      <c r="B88" s="2" t="inlineStr">
        <is>
          <t xml:space="preserve">T</t>
        </is>
      </c>
      <c r="C88" s="2" t="inlineStr">
        <is>
          <t xml:space="preserve">A</t>
        </is>
      </c>
      <c r="D88" s="2" t="inlineStr">
        <is>
          <t xml:space="preserve">Sin cambio</t>
        </is>
      </c>
    </row>
    <row r="89">
      <c r="A89" s="2">
        <v>85</v>
      </c>
      <c r="B89" s="2" t="inlineStr">
        <is>
          <t xml:space="preserve">T</t>
        </is>
      </c>
      <c r="C89" s="2" t="inlineStr">
        <is>
          <t xml:space="preserve">B</t>
        </is>
      </c>
      <c r="D89" s="2" t="inlineStr">
        <is>
          <t xml:space="preserve">Empeoramiento</t>
        </is>
      </c>
    </row>
    <row r="90">
      <c r="A90" s="2">
        <v>86</v>
      </c>
      <c r="B90" s="2" t="inlineStr">
        <is>
          <t xml:space="preserve">T</t>
        </is>
      </c>
      <c r="C90" s="2" t="inlineStr">
        <is>
          <t xml:space="preserve">C</t>
        </is>
      </c>
      <c r="D90" s="2" t="inlineStr">
        <is>
          <t xml:space="preserve">Mejoría</t>
        </is>
      </c>
    </row>
    <row r="91">
      <c r="A91" s="2">
        <v>87</v>
      </c>
      <c r="B91" s="2" t="inlineStr">
        <is>
          <t xml:space="preserve">T</t>
        </is>
      </c>
      <c r="C91" s="2" t="inlineStr">
        <is>
          <t xml:space="preserve">A</t>
        </is>
      </c>
      <c r="D91" s="2" t="inlineStr">
        <is>
          <t xml:space="preserve">Mejoría</t>
        </is>
      </c>
    </row>
    <row r="92">
      <c r="A92" s="2">
        <v>88</v>
      </c>
      <c r="B92" s="2" t="inlineStr">
        <is>
          <t xml:space="preserve">T</t>
        </is>
      </c>
      <c r="C92" s="2" t="inlineStr">
        <is>
          <t xml:space="preserve">B</t>
        </is>
      </c>
      <c r="D92" s="2" t="inlineStr">
        <is>
          <t xml:space="preserve">Sin cambio</t>
        </is>
      </c>
    </row>
    <row r="93">
      <c r="A93" s="2">
        <v>89</v>
      </c>
      <c r="B93" s="2" t="inlineStr">
        <is>
          <t xml:space="preserve">T</t>
        </is>
      </c>
      <c r="C93" s="2" t="inlineStr">
        <is>
          <t xml:space="preserve">C</t>
        </is>
      </c>
      <c r="D93" s="2" t="inlineStr">
        <is>
          <t xml:space="preserve">Empeoramiento</t>
        </is>
      </c>
    </row>
    <row r="94">
      <c r="A94" s="2">
        <v>90</v>
      </c>
      <c r="B94" s="2" t="inlineStr">
        <is>
          <t xml:space="preserve">T</t>
        </is>
      </c>
      <c r="C94" s="2" t="inlineStr">
        <is>
          <t xml:space="preserve">A</t>
        </is>
      </c>
      <c r="D94" s="2" t="inlineStr">
        <is>
          <t xml:space="preserve">Sin cambio</t>
        </is>
      </c>
    </row>
    <row r="95">
      <c r="A95" s="2">
        <v>91</v>
      </c>
      <c r="B95" s="2" t="inlineStr">
        <is>
          <t xml:space="preserve">T</t>
        </is>
      </c>
      <c r="C95" s="2" t="inlineStr">
        <is>
          <t xml:space="preserve">B</t>
        </is>
      </c>
      <c r="D95" s="2" t="inlineStr">
        <is>
          <t xml:space="preserve">Mejoría</t>
        </is>
      </c>
    </row>
    <row r="96">
      <c r="A96" s="2">
        <v>92</v>
      </c>
      <c r="B96" s="2" t="inlineStr">
        <is>
          <t xml:space="preserve">T</t>
        </is>
      </c>
      <c r="C96" s="2" t="inlineStr">
        <is>
          <t xml:space="preserve">C</t>
        </is>
      </c>
      <c r="D96" s="2" t="inlineStr">
        <is>
          <t xml:space="preserve">Sin cambio</t>
        </is>
      </c>
    </row>
    <row r="97">
      <c r="A97" s="2">
        <v>93</v>
      </c>
      <c r="B97" s="2" t="inlineStr">
        <is>
          <t xml:space="preserve">T</t>
        </is>
      </c>
      <c r="C97" s="2" t="inlineStr">
        <is>
          <t xml:space="preserve">A</t>
        </is>
      </c>
      <c r="D97" s="2" t="inlineStr">
        <is>
          <t xml:space="preserve">Empeoramiento</t>
        </is>
      </c>
    </row>
    <row r="98">
      <c r="A98" s="2">
        <v>94</v>
      </c>
      <c r="B98" s="2" t="inlineStr">
        <is>
          <t xml:space="preserve">T</t>
        </is>
      </c>
      <c r="C98" s="2" t="inlineStr">
        <is>
          <t xml:space="preserve">B</t>
        </is>
      </c>
      <c r="D98" s="2" t="inlineStr">
        <is>
          <t xml:space="preserve">Sin cambio</t>
        </is>
      </c>
    </row>
    <row r="99">
      <c r="A99" s="2">
        <v>95</v>
      </c>
      <c r="B99" s="2" t="inlineStr">
        <is>
          <t xml:space="preserve">T</t>
        </is>
      </c>
      <c r="C99" s="2" t="inlineStr">
        <is>
          <t xml:space="preserve">C</t>
        </is>
      </c>
      <c r="D99" s="2" t="inlineStr">
        <is>
          <t xml:space="preserve">Mejoría</t>
        </is>
      </c>
    </row>
    <row r="100">
      <c r="A100" s="2">
        <v>96</v>
      </c>
      <c r="B100" s="2" t="inlineStr">
        <is>
          <t xml:space="preserve">T</t>
        </is>
      </c>
      <c r="C100" s="2" t="inlineStr">
        <is>
          <t xml:space="preserve">A</t>
        </is>
      </c>
      <c r="D100" s="2" t="inlineStr">
        <is>
          <t xml:space="preserve">Sin cambio</t>
        </is>
      </c>
    </row>
    <row r="101">
      <c r="A101" s="2">
        <v>97</v>
      </c>
      <c r="B101" s="2" t="inlineStr">
        <is>
          <t xml:space="preserve">T</t>
        </is>
      </c>
      <c r="C101" s="2" t="inlineStr">
        <is>
          <t xml:space="preserve">B</t>
        </is>
      </c>
      <c r="D101" s="2" t="inlineStr">
        <is>
          <t xml:space="preserve">Empeoramiento</t>
        </is>
      </c>
    </row>
    <row r="102">
      <c r="A102" s="2">
        <v>98</v>
      </c>
      <c r="B102" s="2" t="inlineStr">
        <is>
          <t xml:space="preserve">T</t>
        </is>
      </c>
      <c r="C102" s="2" t="inlineStr">
        <is>
          <t xml:space="preserve">C</t>
        </is>
      </c>
      <c r="D102" s="2" t="inlineStr">
        <is>
          <t xml:space="preserve">Mejoría</t>
        </is>
      </c>
    </row>
    <row r="103">
      <c r="A103" s="2">
        <v>99</v>
      </c>
      <c r="B103" s="2" t="inlineStr">
        <is>
          <t xml:space="preserve">T</t>
        </is>
      </c>
      <c r="C103" s="2" t="inlineStr">
        <is>
          <t xml:space="preserve">A</t>
        </is>
      </c>
      <c r="D103" s="2" t="inlineStr">
        <is>
          <t xml:space="preserve">Mejoría</t>
        </is>
      </c>
    </row>
    <row r="104">
      <c r="A104" s="2">
        <v>100</v>
      </c>
      <c r="B104" s="2" t="inlineStr">
        <is>
          <t xml:space="preserve">T</t>
        </is>
      </c>
      <c r="C104" s="2" t="inlineStr">
        <is>
          <t xml:space="preserve">B</t>
        </is>
      </c>
      <c r="D104" s="2" t="inlineStr">
        <is>
          <t xml:space="preserve">Sin cambio</t>
        </is>
      </c>
    </row>
    <row r="105">
      <c r="A105" s="2">
        <v>101</v>
      </c>
      <c r="B105" s="2" t="inlineStr">
        <is>
          <t xml:space="preserve">T</t>
        </is>
      </c>
      <c r="C105" s="2" t="inlineStr">
        <is>
          <t xml:space="preserve">C</t>
        </is>
      </c>
      <c r="D105" s="2" t="inlineStr">
        <is>
          <t xml:space="preserve">Empeoramiento</t>
        </is>
      </c>
    </row>
    <row r="106">
      <c r="A106" s="2">
        <v>102</v>
      </c>
      <c r="B106" s="2" t="inlineStr">
        <is>
          <t xml:space="preserve">T</t>
        </is>
      </c>
      <c r="C106" s="2" t="inlineStr">
        <is>
          <t xml:space="preserve">A</t>
        </is>
      </c>
      <c r="D106" s="2" t="inlineStr">
        <is>
          <t xml:space="preserve">Mejoría</t>
        </is>
      </c>
    </row>
    <row r="107">
      <c r="A107" s="2">
        <v>103</v>
      </c>
      <c r="B107" s="2" t="inlineStr">
        <is>
          <t xml:space="preserve">T</t>
        </is>
      </c>
      <c r="C107" s="2" t="inlineStr">
        <is>
          <t xml:space="preserve">B</t>
        </is>
      </c>
      <c r="D107" s="2" t="inlineStr">
        <is>
          <t xml:space="preserve">Mejoría</t>
        </is>
      </c>
    </row>
    <row r="108">
      <c r="A108" s="2">
        <v>104</v>
      </c>
      <c r="B108" s="2" t="inlineStr">
        <is>
          <t xml:space="preserve">T</t>
        </is>
      </c>
      <c r="C108" s="2" t="inlineStr">
        <is>
          <t xml:space="preserve">C</t>
        </is>
      </c>
      <c r="D108" s="2" t="inlineStr">
        <is>
          <t xml:space="preserve">Sin cambio</t>
        </is>
      </c>
    </row>
    <row r="109">
      <c r="A109" s="2">
        <v>105</v>
      </c>
      <c r="B109" s="2" t="inlineStr">
        <is>
          <t xml:space="preserve">T</t>
        </is>
      </c>
      <c r="C109" s="2" t="inlineStr">
        <is>
          <t xml:space="preserve">A</t>
        </is>
      </c>
      <c r="D109" s="2" t="inlineStr">
        <is>
          <t xml:space="preserve">Sin cambio</t>
        </is>
      </c>
    </row>
    <row r="110">
      <c r="A110" s="2">
        <v>106</v>
      </c>
      <c r="B110" s="2" t="inlineStr">
        <is>
          <t xml:space="preserve">T</t>
        </is>
      </c>
      <c r="C110" s="2" t="inlineStr">
        <is>
          <t xml:space="preserve">B</t>
        </is>
      </c>
      <c r="D110" s="2" t="inlineStr">
        <is>
          <t xml:space="preserve">Empeoramiento</t>
        </is>
      </c>
    </row>
    <row r="111">
      <c r="A111" s="2">
        <v>107</v>
      </c>
      <c r="B111" s="2" t="inlineStr">
        <is>
          <t xml:space="preserve">T</t>
        </is>
      </c>
      <c r="C111" s="2" t="inlineStr">
        <is>
          <t xml:space="preserve">C</t>
        </is>
      </c>
      <c r="D111" s="2" t="inlineStr">
        <is>
          <t xml:space="preserve">Mejoría</t>
        </is>
      </c>
    </row>
    <row r="112">
      <c r="A112" s="2">
        <v>108</v>
      </c>
      <c r="B112" s="2" t="inlineStr">
        <is>
          <t xml:space="preserve">T</t>
        </is>
      </c>
      <c r="C112" s="2" t="inlineStr">
        <is>
          <t xml:space="preserve">A</t>
        </is>
      </c>
      <c r="D112" s="2" t="inlineStr">
        <is>
          <t xml:space="preserve">Mejoría</t>
        </is>
      </c>
    </row>
    <row r="113">
      <c r="A113" s="2">
        <v>109</v>
      </c>
      <c r="B113" s="2" t="inlineStr">
        <is>
          <t xml:space="preserve">T</t>
        </is>
      </c>
      <c r="C113" s="2" t="inlineStr">
        <is>
          <t xml:space="preserve">B</t>
        </is>
      </c>
      <c r="D113" s="2" t="inlineStr">
        <is>
          <t xml:space="preserve">Sin cambio</t>
        </is>
      </c>
    </row>
    <row r="114">
      <c r="A114" s="2">
        <v>110</v>
      </c>
      <c r="B114" s="2" t="inlineStr">
        <is>
          <t xml:space="preserve">T</t>
        </is>
      </c>
      <c r="C114" s="2" t="inlineStr">
        <is>
          <t xml:space="preserve">C</t>
        </is>
      </c>
      <c r="D114" s="2" t="inlineStr">
        <is>
          <t xml:space="preserve">Empeoramiento</t>
        </is>
      </c>
    </row>
    <row r="115">
      <c r="A115" s="2">
        <v>111</v>
      </c>
      <c r="B115" s="2" t="inlineStr">
        <is>
          <t xml:space="preserve">T</t>
        </is>
      </c>
      <c r="C115" s="2" t="inlineStr">
        <is>
          <t xml:space="preserve">A</t>
        </is>
      </c>
      <c r="D115" s="2" t="inlineStr">
        <is>
          <t xml:space="preserve">Mejoría</t>
        </is>
      </c>
    </row>
    <row r="116">
      <c r="A116" s="2">
        <v>112</v>
      </c>
      <c r="B116" s="2" t="inlineStr">
        <is>
          <t xml:space="preserve">T</t>
        </is>
      </c>
      <c r="C116" s="2" t="inlineStr">
        <is>
          <t xml:space="preserve">B</t>
        </is>
      </c>
      <c r="D116" s="2" t="inlineStr">
        <is>
          <t xml:space="preserve">Mejoría</t>
        </is>
      </c>
    </row>
    <row r="117">
      <c r="A117" s="2">
        <v>113</v>
      </c>
      <c r="B117" s="2" t="inlineStr">
        <is>
          <t xml:space="preserve">T</t>
        </is>
      </c>
      <c r="C117" s="2" t="inlineStr">
        <is>
          <t xml:space="preserve">C</t>
        </is>
      </c>
      <c r="D117" s="2" t="inlineStr">
        <is>
          <t xml:space="preserve">Sin cambio</t>
        </is>
      </c>
    </row>
    <row r="118">
      <c r="A118" s="2">
        <v>114</v>
      </c>
      <c r="B118" s="2" t="inlineStr">
        <is>
          <t xml:space="preserve">T</t>
        </is>
      </c>
      <c r="C118" s="2" t="inlineStr">
        <is>
          <t xml:space="preserve">A</t>
        </is>
      </c>
      <c r="D118" s="2" t="inlineStr">
        <is>
          <t xml:space="preserve">Sin cambio</t>
        </is>
      </c>
    </row>
    <row r="119">
      <c r="A119" s="2">
        <v>115</v>
      </c>
      <c r="B119" s="2" t="inlineStr">
        <is>
          <t xml:space="preserve">T</t>
        </is>
      </c>
      <c r="C119" s="2" t="inlineStr">
        <is>
          <t xml:space="preserve">B</t>
        </is>
      </c>
      <c r="D119" s="2" t="inlineStr">
        <is>
          <t xml:space="preserve">Empeoramiento</t>
        </is>
      </c>
    </row>
    <row r="120">
      <c r="A120" s="2">
        <v>116</v>
      </c>
      <c r="B120" s="2" t="inlineStr">
        <is>
          <t xml:space="preserve">T</t>
        </is>
      </c>
      <c r="C120" s="2" t="inlineStr">
        <is>
          <t xml:space="preserve">C</t>
        </is>
      </c>
      <c r="D120" s="2" t="inlineStr">
        <is>
          <t xml:space="preserve">Mejoría</t>
        </is>
      </c>
    </row>
    <row r="121">
      <c r="A121" s="2">
        <v>117</v>
      </c>
      <c r="B121" s="2" t="inlineStr">
        <is>
          <t xml:space="preserve">T</t>
        </is>
      </c>
      <c r="C121" s="2" t="inlineStr">
        <is>
          <t xml:space="preserve">A</t>
        </is>
      </c>
      <c r="D121" s="2" t="inlineStr">
        <is>
          <t xml:space="preserve">Mejoría</t>
        </is>
      </c>
    </row>
    <row r="122">
      <c r="A122" s="2">
        <v>118</v>
      </c>
      <c r="B122" s="2" t="inlineStr">
        <is>
          <t xml:space="preserve">T</t>
        </is>
      </c>
      <c r="C122" s="2" t="inlineStr">
        <is>
          <t xml:space="preserve">B</t>
        </is>
      </c>
      <c r="D122" s="2" t="inlineStr">
        <is>
          <t xml:space="preserve">Sin cambio</t>
        </is>
      </c>
    </row>
    <row r="123">
      <c r="A123" s="2">
        <v>119</v>
      </c>
      <c r="B123" s="2" t="inlineStr">
        <is>
          <t xml:space="preserve">T</t>
        </is>
      </c>
      <c r="C123" s="2" t="inlineStr">
        <is>
          <t xml:space="preserve">C</t>
        </is>
      </c>
      <c r="D123" s="2" t="inlineStr">
        <is>
          <t xml:space="preserve">Empeoramiento</t>
        </is>
      </c>
    </row>
    <row r="124">
      <c r="A124" s="2">
        <v>120</v>
      </c>
      <c r="B124" s="2" t="inlineStr">
        <is>
          <t xml:space="preserve">T</t>
        </is>
      </c>
      <c r="C124" s="2" t="inlineStr">
        <is>
          <t xml:space="preserve">A</t>
        </is>
      </c>
      <c r="D124" s="2" t="inlineStr">
        <is>
          <t xml:space="preserve">Sin cambio</t>
        </is>
      </c>
    </row>
    <row r="125">
      <c r="A125" s="2">
        <v>121</v>
      </c>
      <c r="B125" s="2" t="inlineStr">
        <is>
          <t xml:space="preserve">T</t>
        </is>
      </c>
      <c r="C125" s="2" t="inlineStr">
        <is>
          <t xml:space="preserve">B</t>
        </is>
      </c>
      <c r="D125" s="2" t="inlineStr">
        <is>
          <t xml:space="preserve">Mejoría</t>
        </is>
      </c>
    </row>
    <row r="126">
      <c r="A126" s="2">
        <v>122</v>
      </c>
      <c r="B126" s="2" t="inlineStr">
        <is>
          <t xml:space="preserve">T</t>
        </is>
      </c>
      <c r="C126" s="2" t="inlineStr">
        <is>
          <t xml:space="preserve">C</t>
        </is>
      </c>
      <c r="D126" s="2" t="inlineStr">
        <is>
          <t xml:space="preserve">Sin cambio</t>
        </is>
      </c>
    </row>
    <row r="127">
      <c r="A127" s="2">
        <v>123</v>
      </c>
      <c r="B127" s="2" t="inlineStr">
        <is>
          <t xml:space="preserve">T</t>
        </is>
      </c>
      <c r="C127" s="2" t="inlineStr">
        <is>
          <t xml:space="preserve">A</t>
        </is>
      </c>
      <c r="D127" s="2" t="inlineStr">
        <is>
          <t xml:space="preserve">Empeoramiento</t>
        </is>
      </c>
    </row>
    <row r="128">
      <c r="A128" s="2">
        <v>124</v>
      </c>
      <c r="B128" s="2" t="inlineStr">
        <is>
          <t xml:space="preserve">T</t>
        </is>
      </c>
      <c r="C128" s="2" t="inlineStr">
        <is>
          <t xml:space="preserve">B</t>
        </is>
      </c>
      <c r="D128" s="2" t="inlineStr">
        <is>
          <t xml:space="preserve">Sin cambio</t>
        </is>
      </c>
    </row>
    <row r="129">
      <c r="A129" s="2">
        <v>125</v>
      </c>
      <c r="B129" s="2" t="inlineStr">
        <is>
          <t xml:space="preserve">T</t>
        </is>
      </c>
      <c r="C129" s="2" t="inlineStr">
        <is>
          <t xml:space="preserve">C</t>
        </is>
      </c>
      <c r="D129" s="2" t="inlineStr">
        <is>
          <t xml:space="preserve">Mejoría</t>
        </is>
      </c>
    </row>
    <row r="130">
      <c r="A130" s="2">
        <v>126</v>
      </c>
      <c r="B130" s="2" t="inlineStr">
        <is>
          <t xml:space="preserve">T</t>
        </is>
      </c>
      <c r="C130" s="2" t="inlineStr">
        <is>
          <t xml:space="preserve">A</t>
        </is>
      </c>
      <c r="D130" s="2" t="inlineStr">
        <is>
          <t xml:space="preserve">Sin cambio</t>
        </is>
      </c>
    </row>
    <row r="131">
      <c r="A131" s="2">
        <v>127</v>
      </c>
      <c r="B131" s="2" t="inlineStr">
        <is>
          <t xml:space="preserve">T</t>
        </is>
      </c>
      <c r="C131" s="2" t="inlineStr">
        <is>
          <t xml:space="preserve">B</t>
        </is>
      </c>
      <c r="D131" s="2" t="inlineStr">
        <is>
          <t xml:space="preserve">Empeoramiento</t>
        </is>
      </c>
    </row>
    <row r="132">
      <c r="A132" s="2">
        <v>128</v>
      </c>
      <c r="B132" s="2" t="inlineStr">
        <is>
          <t xml:space="preserve">T</t>
        </is>
      </c>
      <c r="C132" s="2" t="inlineStr">
        <is>
          <t xml:space="preserve">C</t>
        </is>
      </c>
      <c r="D132" s="2" t="inlineStr">
        <is>
          <t xml:space="preserve">Mejoría</t>
        </is>
      </c>
    </row>
    <row r="133">
      <c r="A133" s="2">
        <v>129</v>
      </c>
      <c r="B133" s="2" t="inlineStr">
        <is>
          <t xml:space="preserve">T</t>
        </is>
      </c>
      <c r="C133" s="2" t="inlineStr">
        <is>
          <t xml:space="preserve">A</t>
        </is>
      </c>
      <c r="D133" s="2" t="inlineStr">
        <is>
          <t xml:space="preserve">Mejoría</t>
        </is>
      </c>
    </row>
    <row r="134">
      <c r="A134" s="2">
        <v>130</v>
      </c>
      <c r="B134" s="2" t="inlineStr">
        <is>
          <t xml:space="preserve">T</t>
        </is>
      </c>
      <c r="C134" s="2" t="inlineStr">
        <is>
          <t xml:space="preserve">B</t>
        </is>
      </c>
      <c r="D134" s="2" t="inlineStr">
        <is>
          <t xml:space="preserve">Sin cambio</t>
        </is>
      </c>
    </row>
    <row r="135">
      <c r="A135" s="2">
        <v>131</v>
      </c>
      <c r="B135" s="2" t="inlineStr">
        <is>
          <t xml:space="preserve">T</t>
        </is>
      </c>
      <c r="C135" s="2" t="inlineStr">
        <is>
          <t xml:space="preserve">C</t>
        </is>
      </c>
      <c r="D135" s="2" t="inlineStr">
        <is>
          <t xml:space="preserve">Empeoramiento</t>
        </is>
      </c>
    </row>
    <row r="136">
      <c r="A136" s="2">
        <v>132</v>
      </c>
      <c r="B136" s="2" t="inlineStr">
        <is>
          <t xml:space="preserve">T</t>
        </is>
      </c>
      <c r="C136" s="2" t="inlineStr">
        <is>
          <t xml:space="preserve">A</t>
        </is>
      </c>
      <c r="D136" s="2" t="inlineStr">
        <is>
          <t xml:space="preserve">Mejoría</t>
        </is>
      </c>
    </row>
    <row r="137">
      <c r="A137" s="2">
        <v>133</v>
      </c>
      <c r="B137" s="2" t="inlineStr">
        <is>
          <t xml:space="preserve">T</t>
        </is>
      </c>
      <c r="C137" s="2" t="inlineStr">
        <is>
          <t xml:space="preserve">B</t>
        </is>
      </c>
      <c r="D137" s="2" t="inlineStr">
        <is>
          <t xml:space="preserve">Mejoría</t>
        </is>
      </c>
    </row>
    <row r="138">
      <c r="A138" s="2">
        <v>134</v>
      </c>
      <c r="B138" s="2" t="inlineStr">
        <is>
          <t xml:space="preserve">T</t>
        </is>
      </c>
      <c r="C138" s="2" t="inlineStr">
        <is>
          <t xml:space="preserve">C</t>
        </is>
      </c>
      <c r="D138" s="2" t="inlineStr">
        <is>
          <t xml:space="preserve">Sin cambio</t>
        </is>
      </c>
    </row>
    <row r="139">
      <c r="A139" s="2">
        <v>135</v>
      </c>
      <c r="B139" s="2" t="inlineStr">
        <is>
          <t xml:space="preserve">T</t>
        </is>
      </c>
      <c r="C139" s="2" t="inlineStr">
        <is>
          <t xml:space="preserve">A</t>
        </is>
      </c>
      <c r="D139" s="2" t="inlineStr">
        <is>
          <t xml:space="preserve">Sin cambio</t>
        </is>
      </c>
    </row>
    <row r="140">
      <c r="A140" s="2">
        <v>136</v>
      </c>
      <c r="B140" s="2" t="inlineStr">
        <is>
          <t xml:space="preserve">T</t>
        </is>
      </c>
      <c r="C140" s="2" t="inlineStr">
        <is>
          <t xml:space="preserve">B</t>
        </is>
      </c>
      <c r="D140" s="2" t="inlineStr">
        <is>
          <t xml:space="preserve">Empeoramiento</t>
        </is>
      </c>
    </row>
    <row r="141">
      <c r="A141" s="2">
        <v>137</v>
      </c>
      <c r="B141" s="2" t="inlineStr">
        <is>
          <t xml:space="preserve">T</t>
        </is>
      </c>
      <c r="C141" s="2" t="inlineStr">
        <is>
          <t xml:space="preserve">C</t>
        </is>
      </c>
      <c r="D141" s="2" t="inlineStr">
        <is>
          <t xml:space="preserve">Mejoría</t>
        </is>
      </c>
    </row>
    <row r="142">
      <c r="A142" s="2">
        <v>138</v>
      </c>
      <c r="B142" s="2" t="inlineStr">
        <is>
          <t xml:space="preserve">T</t>
        </is>
      </c>
      <c r="C142" s="2" t="inlineStr">
        <is>
          <t xml:space="preserve">A</t>
        </is>
      </c>
      <c r="D142" s="2" t="inlineStr">
        <is>
          <t xml:space="preserve">Mejoría</t>
        </is>
      </c>
    </row>
    <row r="143">
      <c r="A143" s="2">
        <v>139</v>
      </c>
      <c r="B143" s="2" t="inlineStr">
        <is>
          <t xml:space="preserve">T</t>
        </is>
      </c>
      <c r="C143" s="2" t="inlineStr">
        <is>
          <t xml:space="preserve">B</t>
        </is>
      </c>
      <c r="D143" s="2" t="inlineStr">
        <is>
          <t xml:space="preserve">Sin cambio</t>
        </is>
      </c>
    </row>
    <row r="144">
      <c r="A144" s="2">
        <v>140</v>
      </c>
      <c r="B144" s="2" t="inlineStr">
        <is>
          <t xml:space="preserve">T</t>
        </is>
      </c>
      <c r="C144" s="2" t="inlineStr">
        <is>
          <t xml:space="preserve">C</t>
        </is>
      </c>
      <c r="D144" s="2" t="inlineStr">
        <is>
          <t xml:space="preserve">Empeoramiento</t>
        </is>
      </c>
    </row>
    <row r="145">
      <c r="A145" s="2">
        <v>141</v>
      </c>
      <c r="B145" s="2" t="inlineStr">
        <is>
          <t xml:space="preserve">T</t>
        </is>
      </c>
      <c r="C145" s="2" t="inlineStr">
        <is>
          <t xml:space="preserve">A</t>
        </is>
      </c>
      <c r="D145" s="2" t="inlineStr">
        <is>
          <t xml:space="preserve">Mejoría</t>
        </is>
      </c>
    </row>
    <row r="146">
      <c r="A146" s="2">
        <v>142</v>
      </c>
      <c r="B146" s="2" t="inlineStr">
        <is>
          <t xml:space="preserve">T</t>
        </is>
      </c>
      <c r="C146" s="2" t="inlineStr">
        <is>
          <t xml:space="preserve">B</t>
        </is>
      </c>
      <c r="D146" s="2" t="inlineStr">
        <is>
          <t xml:space="preserve">Mejoría</t>
        </is>
      </c>
    </row>
    <row r="147">
      <c r="A147" s="2">
        <v>143</v>
      </c>
      <c r="B147" s="2" t="inlineStr">
        <is>
          <t xml:space="preserve">T</t>
        </is>
      </c>
      <c r="C147" s="2" t="inlineStr">
        <is>
          <t xml:space="preserve">C</t>
        </is>
      </c>
      <c r="D147" s="2" t="inlineStr">
        <is>
          <t xml:space="preserve">Sin cambio</t>
        </is>
      </c>
    </row>
    <row r="148">
      <c r="A148" s="2">
        <v>144</v>
      </c>
      <c r="B148" s="2" t="inlineStr">
        <is>
          <t xml:space="preserve">T</t>
        </is>
      </c>
      <c r="C148" s="2" t="inlineStr">
        <is>
          <t xml:space="preserve">A</t>
        </is>
      </c>
      <c r="D148" s="2" t="inlineStr">
        <is>
          <t xml:space="preserve">Sin cambio</t>
        </is>
      </c>
    </row>
    <row r="149">
      <c r="A149" s="2">
        <v>145</v>
      </c>
      <c r="B149" s="2" t="inlineStr">
        <is>
          <t xml:space="preserve">T</t>
        </is>
      </c>
      <c r="C149" s="2" t="inlineStr">
        <is>
          <t xml:space="preserve">B</t>
        </is>
      </c>
      <c r="D149" s="2" t="inlineStr">
        <is>
          <t xml:space="preserve">Empeoramiento</t>
        </is>
      </c>
    </row>
    <row r="150">
      <c r="A150" s="2">
        <v>146</v>
      </c>
      <c r="B150" s="2" t="inlineStr">
        <is>
          <t xml:space="preserve">T</t>
        </is>
      </c>
      <c r="C150" s="2" t="inlineStr">
        <is>
          <t xml:space="preserve">C</t>
        </is>
      </c>
      <c r="D150" s="2" t="inlineStr">
        <is>
          <t xml:space="preserve">Mejoría</t>
        </is>
      </c>
    </row>
    <row r="151">
      <c r="A151" s="2">
        <v>147</v>
      </c>
      <c r="B151" s="2" t="inlineStr">
        <is>
          <t xml:space="preserve">T</t>
        </is>
      </c>
      <c r="C151" s="2" t="inlineStr">
        <is>
          <t xml:space="preserve">A</t>
        </is>
      </c>
      <c r="D151" s="2" t="inlineStr">
        <is>
          <t xml:space="preserve">Mejoría</t>
        </is>
      </c>
    </row>
    <row r="152">
      <c r="A152" s="2">
        <v>148</v>
      </c>
      <c r="B152" s="2" t="inlineStr">
        <is>
          <t xml:space="preserve">T</t>
        </is>
      </c>
      <c r="C152" s="2" t="inlineStr">
        <is>
          <t xml:space="preserve">B</t>
        </is>
      </c>
      <c r="D152" s="2" t="inlineStr">
        <is>
          <t xml:space="preserve">Sin cambio</t>
        </is>
      </c>
    </row>
    <row r="153">
      <c r="A153" s="2">
        <v>149</v>
      </c>
      <c r="B153" s="2" t="inlineStr">
        <is>
          <t xml:space="preserve">T</t>
        </is>
      </c>
      <c r="C153" s="2" t="inlineStr">
        <is>
          <t xml:space="preserve">C</t>
        </is>
      </c>
      <c r="D153" s="2" t="inlineStr">
        <is>
          <t xml:space="preserve">Empeoramiento</t>
        </is>
      </c>
    </row>
    <row r="154">
      <c r="A154" s="2">
        <v>150</v>
      </c>
      <c r="B154" s="2" t="inlineStr">
        <is>
          <t xml:space="preserve">T</t>
        </is>
      </c>
      <c r="C154" s="2" t="inlineStr">
        <is>
          <t xml:space="preserve">A</t>
        </is>
      </c>
      <c r="D154" s="2" t="inlineStr">
        <is>
          <t xml:space="preserve">Sin cambio</t>
        </is>
      </c>
    </row>
    <row r="155">
      <c r="A155" s="2">
        <v>151</v>
      </c>
      <c r="B155" s="2" t="inlineStr">
        <is>
          <t xml:space="preserve">T</t>
        </is>
      </c>
      <c r="C155" s="2" t="inlineStr">
        <is>
          <t xml:space="preserve">B</t>
        </is>
      </c>
      <c r="D155" s="2" t="inlineStr">
        <is>
          <t xml:space="preserve">Mejoría</t>
        </is>
      </c>
    </row>
    <row r="156">
      <c r="A156" s="2">
        <v>152</v>
      </c>
      <c r="B156" s="2" t="inlineStr">
        <is>
          <t xml:space="preserve">T</t>
        </is>
      </c>
      <c r="C156" s="2" t="inlineStr">
        <is>
          <t xml:space="preserve">C</t>
        </is>
      </c>
      <c r="D156" s="2" t="inlineStr">
        <is>
          <t xml:space="preserve">Sin cambio</t>
        </is>
      </c>
    </row>
    <row r="157">
      <c r="A157" s="2">
        <v>153</v>
      </c>
      <c r="B157" s="2" t="inlineStr">
        <is>
          <t xml:space="preserve">T</t>
        </is>
      </c>
      <c r="C157" s="2" t="inlineStr">
        <is>
          <t xml:space="preserve">A</t>
        </is>
      </c>
      <c r="D157" s="2" t="inlineStr">
        <is>
          <t xml:space="preserve">Empeoramiento</t>
        </is>
      </c>
    </row>
    <row r="158">
      <c r="A158" s="2">
        <v>154</v>
      </c>
      <c r="B158" s="2" t="inlineStr">
        <is>
          <t xml:space="preserve">T</t>
        </is>
      </c>
      <c r="C158" s="2" t="inlineStr">
        <is>
          <t xml:space="preserve">B</t>
        </is>
      </c>
      <c r="D158" s="2" t="inlineStr">
        <is>
          <t xml:space="preserve">Sin cambio</t>
        </is>
      </c>
    </row>
    <row r="159">
      <c r="A159" s="2">
        <v>155</v>
      </c>
      <c r="B159" s="2" t="inlineStr">
        <is>
          <t xml:space="preserve">T</t>
        </is>
      </c>
      <c r="C159" s="2" t="inlineStr">
        <is>
          <t xml:space="preserve">C</t>
        </is>
      </c>
      <c r="D159" s="2" t="inlineStr">
        <is>
          <t xml:space="preserve">Mejoría</t>
        </is>
      </c>
    </row>
    <row r="160">
      <c r="A160" s="2">
        <v>156</v>
      </c>
      <c r="B160" s="2" t="inlineStr">
        <is>
          <t xml:space="preserve">T</t>
        </is>
      </c>
      <c r="C160" s="2" t="inlineStr">
        <is>
          <t xml:space="preserve">A</t>
        </is>
      </c>
      <c r="D160" s="2" t="inlineStr">
        <is>
          <t xml:space="preserve">Sin cambio</t>
        </is>
      </c>
    </row>
    <row r="161">
      <c r="A161" s="2">
        <v>157</v>
      </c>
      <c r="B161" s="2" t="inlineStr">
        <is>
          <t xml:space="preserve">T</t>
        </is>
      </c>
      <c r="C161" s="2" t="inlineStr">
        <is>
          <t xml:space="preserve">B</t>
        </is>
      </c>
      <c r="D161" s="2" t="inlineStr">
        <is>
          <t xml:space="preserve">Empeoramiento</t>
        </is>
      </c>
    </row>
    <row r="162">
      <c r="A162" s="2">
        <v>158</v>
      </c>
      <c r="B162" s="2" t="inlineStr">
        <is>
          <t xml:space="preserve">T</t>
        </is>
      </c>
      <c r="C162" s="2" t="inlineStr">
        <is>
          <t xml:space="preserve">C</t>
        </is>
      </c>
      <c r="D162" s="2" t="inlineStr">
        <is>
          <t xml:space="preserve">Mejoría</t>
        </is>
      </c>
    </row>
    <row r="163">
      <c r="A163" s="2">
        <v>159</v>
      </c>
      <c r="B163" s="2" t="inlineStr">
        <is>
          <t xml:space="preserve">T</t>
        </is>
      </c>
      <c r="C163" s="2" t="inlineStr">
        <is>
          <t xml:space="preserve">A</t>
        </is>
      </c>
      <c r="D163" s="2" t="inlineStr">
        <is>
          <t xml:space="preserve">Mejoría</t>
        </is>
      </c>
    </row>
    <row r="164">
      <c r="A164" s="2">
        <v>160</v>
      </c>
      <c r="B164" s="2" t="inlineStr">
        <is>
          <t xml:space="preserve">T</t>
        </is>
      </c>
      <c r="C164" s="2" t="inlineStr">
        <is>
          <t xml:space="preserve">B</t>
        </is>
      </c>
      <c r="D164" s="2" t="inlineStr">
        <is>
          <t xml:space="preserve">Sin cambio</t>
        </is>
      </c>
    </row>
    <row r="165">
      <c r="A165" s="2">
        <v>161</v>
      </c>
      <c r="B165" s="2" t="inlineStr">
        <is>
          <t xml:space="preserve">T</t>
        </is>
      </c>
      <c r="C165" s="2" t="inlineStr">
        <is>
          <t xml:space="preserve">C</t>
        </is>
      </c>
      <c r="D165" s="2" t="inlineStr">
        <is>
          <t xml:space="preserve">Empeoramiento</t>
        </is>
      </c>
    </row>
    <row r="166">
      <c r="A166" s="2">
        <v>162</v>
      </c>
      <c r="B166" s="2" t="inlineStr">
        <is>
          <t xml:space="preserve">T</t>
        </is>
      </c>
      <c r="C166" s="2" t="inlineStr">
        <is>
          <t xml:space="preserve">A</t>
        </is>
      </c>
      <c r="D166" s="2" t="inlineStr">
        <is>
          <t xml:space="preserve">Mejoría</t>
        </is>
      </c>
    </row>
    <row r="167">
      <c r="A167" s="2">
        <v>163</v>
      </c>
      <c r="B167" s="2" t="inlineStr">
        <is>
          <t xml:space="preserve">T</t>
        </is>
      </c>
      <c r="C167" s="2" t="inlineStr">
        <is>
          <t xml:space="preserve">B</t>
        </is>
      </c>
      <c r="D167" s="2" t="inlineStr">
        <is>
          <t xml:space="preserve">Mejoría</t>
        </is>
      </c>
    </row>
    <row r="168">
      <c r="A168" s="2">
        <v>164</v>
      </c>
      <c r="B168" s="2" t="inlineStr">
        <is>
          <t xml:space="preserve">T</t>
        </is>
      </c>
      <c r="C168" s="2" t="inlineStr">
        <is>
          <t xml:space="preserve">C</t>
        </is>
      </c>
      <c r="D168" s="2" t="inlineStr">
        <is>
          <t xml:space="preserve">Sin cambio</t>
        </is>
      </c>
    </row>
    <row r="169">
      <c r="A169" s="2">
        <v>165</v>
      </c>
      <c r="B169" s="2" t="inlineStr">
        <is>
          <t xml:space="preserve">T</t>
        </is>
      </c>
      <c r="C169" s="2" t="inlineStr">
        <is>
          <t xml:space="preserve">A</t>
        </is>
      </c>
      <c r="D169" s="2" t="inlineStr">
        <is>
          <t xml:space="preserve">Sin cambio</t>
        </is>
      </c>
    </row>
    <row r="170">
      <c r="A170" s="2">
        <v>166</v>
      </c>
      <c r="B170" s="2" t="inlineStr">
        <is>
          <t xml:space="preserve">T</t>
        </is>
      </c>
      <c r="C170" s="2" t="inlineStr">
        <is>
          <t xml:space="preserve">B</t>
        </is>
      </c>
      <c r="D170" s="2" t="inlineStr">
        <is>
          <t xml:space="preserve">Empeoramiento</t>
        </is>
      </c>
    </row>
    <row r="171">
      <c r="A171" s="2">
        <v>167</v>
      </c>
      <c r="B171" s="2" t="inlineStr">
        <is>
          <t xml:space="preserve">T</t>
        </is>
      </c>
      <c r="C171" s="2" t="inlineStr">
        <is>
          <t xml:space="preserve">C</t>
        </is>
      </c>
      <c r="D171" s="2" t="inlineStr">
        <is>
          <t xml:space="preserve">Mejoría</t>
        </is>
      </c>
    </row>
    <row r="172">
      <c r="A172" s="2">
        <v>168</v>
      </c>
      <c r="B172" s="2" t="inlineStr">
        <is>
          <t xml:space="preserve">T</t>
        </is>
      </c>
      <c r="C172" s="2" t="inlineStr">
        <is>
          <t xml:space="preserve">A</t>
        </is>
      </c>
      <c r="D172" s="2" t="inlineStr">
        <is>
          <t xml:space="preserve">Mejoría</t>
        </is>
      </c>
    </row>
    <row r="173">
      <c r="A173" s="2">
        <v>169</v>
      </c>
      <c r="B173" s="2" t="inlineStr">
        <is>
          <t xml:space="preserve">T</t>
        </is>
      </c>
      <c r="C173" s="2" t="inlineStr">
        <is>
          <t xml:space="preserve">B</t>
        </is>
      </c>
      <c r="D173" s="2" t="inlineStr">
        <is>
          <t xml:space="preserve">Sin cambio</t>
        </is>
      </c>
    </row>
    <row r="174">
      <c r="A174" s="2">
        <v>170</v>
      </c>
      <c r="B174" s="2" t="inlineStr">
        <is>
          <t xml:space="preserve">T</t>
        </is>
      </c>
      <c r="C174" s="2" t="inlineStr">
        <is>
          <t xml:space="preserve">C</t>
        </is>
      </c>
      <c r="D174" s="2" t="inlineStr">
        <is>
          <t xml:space="preserve">Empeoramiento</t>
        </is>
      </c>
    </row>
    <row r="175">
      <c r="A175" s="2">
        <v>171</v>
      </c>
      <c r="B175" s="2" t="inlineStr">
        <is>
          <t xml:space="preserve">T</t>
        </is>
      </c>
      <c r="C175" s="2" t="inlineStr">
        <is>
          <t xml:space="preserve">A</t>
        </is>
      </c>
      <c r="D175" s="2" t="inlineStr">
        <is>
          <t xml:space="preserve">Mejoría</t>
        </is>
      </c>
    </row>
    <row r="176">
      <c r="A176" s="2">
        <v>172</v>
      </c>
      <c r="B176" s="2" t="inlineStr">
        <is>
          <t xml:space="preserve">T</t>
        </is>
      </c>
      <c r="C176" s="2" t="inlineStr">
        <is>
          <t xml:space="preserve">B</t>
        </is>
      </c>
      <c r="D176" s="2" t="inlineStr">
        <is>
          <t xml:space="preserve">Mejoría</t>
        </is>
      </c>
    </row>
    <row r="177">
      <c r="A177" s="2">
        <v>173</v>
      </c>
      <c r="B177" s="2" t="inlineStr">
        <is>
          <t xml:space="preserve">T</t>
        </is>
      </c>
      <c r="C177" s="2" t="inlineStr">
        <is>
          <t xml:space="preserve">C</t>
        </is>
      </c>
      <c r="D177" s="2" t="inlineStr">
        <is>
          <t xml:space="preserve">Sin cambio</t>
        </is>
      </c>
    </row>
    <row r="178">
      <c r="A178" s="2">
        <v>174</v>
      </c>
      <c r="B178" s="2" t="inlineStr">
        <is>
          <t xml:space="preserve">T</t>
        </is>
      </c>
      <c r="C178" s="2" t="inlineStr">
        <is>
          <t xml:space="preserve">A</t>
        </is>
      </c>
      <c r="D178" s="2" t="inlineStr">
        <is>
          <t xml:space="preserve">Sin cambio</t>
        </is>
      </c>
    </row>
    <row r="179">
      <c r="A179" s="2">
        <v>175</v>
      </c>
      <c r="B179" s="2" t="inlineStr">
        <is>
          <t xml:space="preserve">T</t>
        </is>
      </c>
      <c r="C179" s="2" t="inlineStr">
        <is>
          <t xml:space="preserve">B</t>
        </is>
      </c>
      <c r="D179" s="2" t="inlineStr">
        <is>
          <t xml:space="preserve">Empeoramiento</t>
        </is>
      </c>
    </row>
    <row r="180">
      <c r="A180" s="2">
        <v>176</v>
      </c>
      <c r="B180" s="2" t="inlineStr">
        <is>
          <t xml:space="preserve">T</t>
        </is>
      </c>
      <c r="C180" s="2" t="inlineStr">
        <is>
          <t xml:space="preserve">C</t>
        </is>
      </c>
      <c r="D180" s="2" t="inlineStr">
        <is>
          <t xml:space="preserve">Mejoría</t>
        </is>
      </c>
    </row>
    <row r="181">
      <c r="A181" s="2">
        <v>177</v>
      </c>
      <c r="B181" s="2" t="inlineStr">
        <is>
          <t xml:space="preserve">T</t>
        </is>
      </c>
      <c r="C181" s="2" t="inlineStr">
        <is>
          <t xml:space="preserve">A</t>
        </is>
      </c>
      <c r="D181" s="2" t="inlineStr">
        <is>
          <t xml:space="preserve">Mejoría</t>
        </is>
      </c>
    </row>
    <row r="182">
      <c r="A182" s="2">
        <v>178</v>
      </c>
      <c r="B182" s="2" t="inlineStr">
        <is>
          <t xml:space="preserve">T</t>
        </is>
      </c>
      <c r="C182" s="2" t="inlineStr">
        <is>
          <t xml:space="preserve">B</t>
        </is>
      </c>
      <c r="D182" s="2" t="inlineStr">
        <is>
          <t xml:space="preserve">Sin cambio</t>
        </is>
      </c>
    </row>
    <row r="183">
      <c r="A183" s="2">
        <v>179</v>
      </c>
      <c r="B183" s="2" t="inlineStr">
        <is>
          <t xml:space="preserve">T</t>
        </is>
      </c>
      <c r="C183" s="2" t="inlineStr">
        <is>
          <t xml:space="preserve">C</t>
        </is>
      </c>
      <c r="D183" s="2" t="inlineStr">
        <is>
          <t xml:space="preserve">Empeoramiento</t>
        </is>
      </c>
    </row>
    <row r="184">
      <c r="A184" s="2">
        <v>180</v>
      </c>
      <c r="B184" s="2" t="inlineStr">
        <is>
          <t xml:space="preserve">T</t>
        </is>
      </c>
      <c r="C184" s="2" t="inlineStr">
        <is>
          <t xml:space="preserve">A</t>
        </is>
      </c>
      <c r="D184" s="2" t="inlineStr">
        <is>
          <t xml:space="preserve">Sin cambio</t>
        </is>
      </c>
    </row>
    <row r="185">
      <c r="A185" s="2">
        <v>181</v>
      </c>
      <c r="B185" s="2" t="inlineStr">
        <is>
          <t xml:space="preserve">T</t>
        </is>
      </c>
      <c r="C185" s="2" t="inlineStr">
        <is>
          <t xml:space="preserve">B</t>
        </is>
      </c>
      <c r="D185" s="2" t="inlineStr">
        <is>
          <t xml:space="preserve">Mejoría</t>
        </is>
      </c>
    </row>
    <row r="186">
      <c r="A186" s="2">
        <v>182</v>
      </c>
      <c r="B186" s="2" t="inlineStr">
        <is>
          <t xml:space="preserve">T</t>
        </is>
      </c>
      <c r="C186" s="2" t="inlineStr">
        <is>
          <t xml:space="preserve">C</t>
        </is>
      </c>
      <c r="D186" s="2" t="inlineStr">
        <is>
          <t xml:space="preserve">Sin cambio</t>
        </is>
      </c>
    </row>
    <row r="187">
      <c r="A187" s="2">
        <v>183</v>
      </c>
      <c r="B187" s="2" t="inlineStr">
        <is>
          <t xml:space="preserve">T</t>
        </is>
      </c>
      <c r="C187" s="2" t="inlineStr">
        <is>
          <t xml:space="preserve">A</t>
        </is>
      </c>
      <c r="D187" s="2" t="inlineStr">
        <is>
          <t xml:space="preserve">Empeoramiento</t>
        </is>
      </c>
    </row>
    <row r="188">
      <c r="A188" s="2">
        <v>184</v>
      </c>
      <c r="B188" s="2" t="inlineStr">
        <is>
          <t xml:space="preserve">T</t>
        </is>
      </c>
      <c r="C188" s="2" t="inlineStr">
        <is>
          <t xml:space="preserve">B</t>
        </is>
      </c>
      <c r="D188" s="2" t="inlineStr">
        <is>
          <t xml:space="preserve">Sin cambio</t>
        </is>
      </c>
    </row>
    <row r="189">
      <c r="A189" s="2">
        <v>185</v>
      </c>
      <c r="B189" s="2" t="inlineStr">
        <is>
          <t xml:space="preserve">T</t>
        </is>
      </c>
      <c r="C189" s="2" t="inlineStr">
        <is>
          <t xml:space="preserve">C</t>
        </is>
      </c>
      <c r="D189" s="2" t="inlineStr">
        <is>
          <t xml:space="preserve">Mejoría</t>
        </is>
      </c>
    </row>
    <row r="190">
      <c r="A190" s="2">
        <v>186</v>
      </c>
      <c r="B190" s="2" t="inlineStr">
        <is>
          <t xml:space="preserve">T</t>
        </is>
      </c>
      <c r="C190" s="2" t="inlineStr">
        <is>
          <t xml:space="preserve">A</t>
        </is>
      </c>
      <c r="D190" s="2" t="inlineStr">
        <is>
          <t xml:space="preserve">Sin cambio</t>
        </is>
      </c>
    </row>
    <row r="191">
      <c r="A191" s="2">
        <v>187</v>
      </c>
      <c r="B191" s="2" t="inlineStr">
        <is>
          <t xml:space="preserve">T</t>
        </is>
      </c>
      <c r="C191" s="2" t="inlineStr">
        <is>
          <t xml:space="preserve">B</t>
        </is>
      </c>
      <c r="D191" s="2" t="inlineStr">
        <is>
          <t xml:space="preserve">Empeoramiento</t>
        </is>
      </c>
    </row>
    <row r="192">
      <c r="A192" s="2">
        <v>188</v>
      </c>
      <c r="B192" s="2" t="inlineStr">
        <is>
          <t xml:space="preserve">T</t>
        </is>
      </c>
      <c r="C192" s="2" t="inlineStr">
        <is>
          <t xml:space="preserve">C</t>
        </is>
      </c>
      <c r="D192" s="2" t="inlineStr">
        <is>
          <t xml:space="preserve">Mejoría</t>
        </is>
      </c>
    </row>
    <row r="193">
      <c r="A193" s="2">
        <v>189</v>
      </c>
      <c r="B193" s="2" t="inlineStr">
        <is>
          <t xml:space="preserve">T</t>
        </is>
      </c>
      <c r="C193" s="2" t="inlineStr">
        <is>
          <t xml:space="preserve">A</t>
        </is>
      </c>
      <c r="D193" s="2" t="inlineStr">
        <is>
          <t xml:space="preserve">Mejoría</t>
        </is>
      </c>
    </row>
    <row r="194">
      <c r="A194" s="2">
        <v>190</v>
      </c>
      <c r="B194" s="2" t="inlineStr">
        <is>
          <t xml:space="preserve">T</t>
        </is>
      </c>
      <c r="C194" s="2" t="inlineStr">
        <is>
          <t xml:space="preserve">B</t>
        </is>
      </c>
      <c r="D194" s="2" t="inlineStr">
        <is>
          <t xml:space="preserve">Sin cambio</t>
        </is>
      </c>
    </row>
    <row r="195">
      <c r="A195" s="2">
        <v>191</v>
      </c>
      <c r="B195" s="2" t="inlineStr">
        <is>
          <t xml:space="preserve">T</t>
        </is>
      </c>
      <c r="C195" s="2" t="inlineStr">
        <is>
          <t xml:space="preserve">C</t>
        </is>
      </c>
      <c r="D195" s="2" t="inlineStr">
        <is>
          <t xml:space="preserve">Empeoramiento</t>
        </is>
      </c>
    </row>
    <row r="196">
      <c r="A196" s="2">
        <v>192</v>
      </c>
      <c r="B196" s="2" t="inlineStr">
        <is>
          <t xml:space="preserve">T</t>
        </is>
      </c>
      <c r="C196" s="2" t="inlineStr">
        <is>
          <t xml:space="preserve">A</t>
        </is>
      </c>
      <c r="D196" s="2" t="inlineStr">
        <is>
          <t xml:space="preserve">Mejoría</t>
        </is>
      </c>
    </row>
    <row r="197">
      <c r="A197" s="2">
        <v>193</v>
      </c>
      <c r="B197" s="2" t="inlineStr">
        <is>
          <t xml:space="preserve">T</t>
        </is>
      </c>
      <c r="C197" s="2" t="inlineStr">
        <is>
          <t xml:space="preserve">B</t>
        </is>
      </c>
      <c r="D197" s="2" t="inlineStr">
        <is>
          <t xml:space="preserve">Mejoría</t>
        </is>
      </c>
    </row>
    <row r="198">
      <c r="A198" s="2">
        <v>194</v>
      </c>
      <c r="B198" s="2" t="inlineStr">
        <is>
          <t xml:space="preserve">T</t>
        </is>
      </c>
      <c r="C198" s="2" t="inlineStr">
        <is>
          <t xml:space="preserve">C</t>
        </is>
      </c>
      <c r="D198" s="2" t="inlineStr">
        <is>
          <t xml:space="preserve">Sin cambio</t>
        </is>
      </c>
    </row>
    <row r="199">
      <c r="A199" s="2">
        <v>195</v>
      </c>
      <c r="B199" s="2" t="inlineStr">
        <is>
          <t xml:space="preserve">T</t>
        </is>
      </c>
      <c r="C199" s="2" t="inlineStr">
        <is>
          <t xml:space="preserve">A</t>
        </is>
      </c>
      <c r="D199" s="2" t="inlineStr">
        <is>
          <t xml:space="preserve">Sin cambio</t>
        </is>
      </c>
    </row>
    <row r="200">
      <c r="A200" s="2">
        <v>196</v>
      </c>
      <c r="B200" s="2" t="inlineStr">
        <is>
          <t xml:space="preserve">T</t>
        </is>
      </c>
      <c r="C200" s="2" t="inlineStr">
        <is>
          <t xml:space="preserve">B</t>
        </is>
      </c>
      <c r="D200" s="2" t="inlineStr">
        <is>
          <t xml:space="preserve">Empeoramiento</t>
        </is>
      </c>
    </row>
    <row r="201">
      <c r="A201" s="2">
        <v>197</v>
      </c>
      <c r="B201" s="2" t="inlineStr">
        <is>
          <t xml:space="preserve">T</t>
        </is>
      </c>
      <c r="C201" s="2" t="inlineStr">
        <is>
          <t xml:space="preserve">C</t>
        </is>
      </c>
      <c r="D201" s="2" t="inlineStr">
        <is>
          <t xml:space="preserve">Mejoría</t>
        </is>
      </c>
    </row>
    <row r="202">
      <c r="A202" s="2">
        <v>198</v>
      </c>
      <c r="B202" s="2" t="inlineStr">
        <is>
          <t xml:space="preserve">T</t>
        </is>
      </c>
      <c r="C202" s="2" t="inlineStr">
        <is>
          <t xml:space="preserve">A</t>
        </is>
      </c>
      <c r="D202" s="2" t="inlineStr">
        <is>
          <t xml:space="preserve">Mejoría</t>
        </is>
      </c>
    </row>
    <row r="203">
      <c r="A203" s="2">
        <v>199</v>
      </c>
      <c r="B203" s="2" t="inlineStr">
        <is>
          <t xml:space="preserve">T</t>
        </is>
      </c>
      <c r="C203" s="2" t="inlineStr">
        <is>
          <t xml:space="preserve">B</t>
        </is>
      </c>
      <c r="D203" s="2" t="inlineStr">
        <is>
          <t xml:space="preserve">Sin cambio</t>
        </is>
      </c>
    </row>
    <row r="204">
      <c r="A204" s="2">
        <v>200</v>
      </c>
      <c r="B204" s="2" t="inlineStr">
        <is>
          <t xml:space="preserve">T</t>
        </is>
      </c>
      <c r="C204" s="2" t="inlineStr">
        <is>
          <t xml:space="preserve">C</t>
        </is>
      </c>
      <c r="D204" s="2" t="inlineStr">
        <is>
          <t xml:space="preserve">Empeoramiento</t>
        </is>
      </c>
    </row>
    <row r="205">
      <c r="A205" s="2">
        <v>201</v>
      </c>
      <c r="B205" s="2" t="inlineStr">
        <is>
          <t xml:space="preserve">T</t>
        </is>
      </c>
      <c r="C205" s="2" t="inlineStr">
        <is>
          <t xml:space="preserve">A</t>
        </is>
      </c>
      <c r="D205" s="2" t="inlineStr">
        <is>
          <t xml:space="preserve">Mejoría</t>
        </is>
      </c>
    </row>
    <row r="206">
      <c r="A206" s="2">
        <v>202</v>
      </c>
      <c r="B206" s="2" t="inlineStr">
        <is>
          <t xml:space="preserve">T</t>
        </is>
      </c>
      <c r="C206" s="2" t="inlineStr">
        <is>
          <t xml:space="preserve">B</t>
        </is>
      </c>
      <c r="D206" s="2" t="inlineStr">
        <is>
          <t xml:space="preserve">Mejoría</t>
        </is>
      </c>
    </row>
    <row r="207">
      <c r="A207" s="2">
        <v>203</v>
      </c>
      <c r="B207" s="2" t="inlineStr">
        <is>
          <t xml:space="preserve">T</t>
        </is>
      </c>
      <c r="C207" s="2" t="inlineStr">
        <is>
          <t xml:space="preserve">C</t>
        </is>
      </c>
      <c r="D207" s="2" t="inlineStr">
        <is>
          <t xml:space="preserve">Sin cambio</t>
        </is>
      </c>
    </row>
    <row r="208">
      <c r="A208" s="2">
        <v>204</v>
      </c>
      <c r="B208" s="2" t="inlineStr">
        <is>
          <t xml:space="preserve">T</t>
        </is>
      </c>
      <c r="C208" s="2" t="inlineStr">
        <is>
          <t xml:space="preserve">A</t>
        </is>
      </c>
      <c r="D208" s="2" t="inlineStr">
        <is>
          <t xml:space="preserve">Sin cambio</t>
        </is>
      </c>
    </row>
    <row r="209">
      <c r="A209" s="2">
        <v>205</v>
      </c>
      <c r="B209" s="2" t="inlineStr">
        <is>
          <t xml:space="preserve">T</t>
        </is>
      </c>
      <c r="C209" s="2" t="inlineStr">
        <is>
          <t xml:space="preserve">B</t>
        </is>
      </c>
      <c r="D209" s="2" t="inlineStr">
        <is>
          <t xml:space="preserve">Empeoramiento</t>
        </is>
      </c>
    </row>
    <row r="210">
      <c r="A210" s="2">
        <v>206</v>
      </c>
      <c r="B210" s="2" t="inlineStr">
        <is>
          <t xml:space="preserve">T</t>
        </is>
      </c>
      <c r="C210" s="2" t="inlineStr">
        <is>
          <t xml:space="preserve">C</t>
        </is>
      </c>
      <c r="D210" s="2" t="inlineStr">
        <is>
          <t xml:space="preserve">Mejoría</t>
        </is>
      </c>
    </row>
    <row r="211">
      <c r="A211" s="2">
        <v>207</v>
      </c>
      <c r="B211" s="2" t="inlineStr">
        <is>
          <t xml:space="preserve">T</t>
        </is>
      </c>
      <c r="C211" s="2" t="inlineStr">
        <is>
          <t xml:space="preserve">A</t>
        </is>
      </c>
      <c r="D211" s="2" t="inlineStr">
        <is>
          <t xml:space="preserve">Mejoría</t>
        </is>
      </c>
    </row>
    <row r="212">
      <c r="A212" s="2">
        <v>208</v>
      </c>
      <c r="B212" s="2" t="inlineStr">
        <is>
          <t xml:space="preserve">T</t>
        </is>
      </c>
      <c r="C212" s="2" t="inlineStr">
        <is>
          <t xml:space="preserve">B</t>
        </is>
      </c>
      <c r="D212" s="2" t="inlineStr">
        <is>
          <t xml:space="preserve">Sin cambio</t>
        </is>
      </c>
    </row>
    <row r="213">
      <c r="A213" s="2">
        <v>209</v>
      </c>
      <c r="B213" s="2" t="inlineStr">
        <is>
          <t xml:space="preserve">T</t>
        </is>
      </c>
      <c r="C213" s="2" t="inlineStr">
        <is>
          <t xml:space="preserve">C</t>
        </is>
      </c>
      <c r="D213" s="2" t="inlineStr">
        <is>
          <t xml:space="preserve">Empeoramiento</t>
        </is>
      </c>
    </row>
    <row r="214">
      <c r="A214" s="2">
        <v>210</v>
      </c>
      <c r="B214" s="2" t="inlineStr">
        <is>
          <t xml:space="preserve">T</t>
        </is>
      </c>
      <c r="C214" s="2" t="inlineStr">
        <is>
          <t xml:space="preserve">A</t>
        </is>
      </c>
      <c r="D214" s="2" t="inlineStr">
        <is>
          <t xml:space="preserve">Sin cambio</t>
        </is>
      </c>
    </row>
    <row r="215">
      <c r="A215" s="2">
        <v>211</v>
      </c>
      <c r="B215" s="2" t="inlineStr">
        <is>
          <t xml:space="preserve">T</t>
        </is>
      </c>
      <c r="C215" s="2" t="inlineStr">
        <is>
          <t xml:space="preserve">B</t>
        </is>
      </c>
      <c r="D215" s="2" t="inlineStr">
        <is>
          <t xml:space="preserve">Mejoría</t>
        </is>
      </c>
    </row>
    <row r="216">
      <c r="A216" s="2">
        <v>212</v>
      </c>
      <c r="B216" s="2" t="inlineStr">
        <is>
          <t xml:space="preserve">T</t>
        </is>
      </c>
      <c r="C216" s="2" t="inlineStr">
        <is>
          <t xml:space="preserve">C</t>
        </is>
      </c>
      <c r="D216" s="2" t="inlineStr">
        <is>
          <t xml:space="preserve">Sin cambio</t>
        </is>
      </c>
    </row>
    <row r="217">
      <c r="A217" s="2">
        <v>213</v>
      </c>
      <c r="B217" s="2" t="inlineStr">
        <is>
          <t xml:space="preserve">T</t>
        </is>
      </c>
      <c r="C217" s="2" t="inlineStr">
        <is>
          <t xml:space="preserve">A</t>
        </is>
      </c>
      <c r="D217" s="2" t="inlineStr">
        <is>
          <t xml:space="preserve">Empeoramiento</t>
        </is>
      </c>
    </row>
    <row r="218">
      <c r="A218" s="2">
        <v>214</v>
      </c>
      <c r="B218" s="2" t="inlineStr">
        <is>
          <t xml:space="preserve">T</t>
        </is>
      </c>
      <c r="C218" s="2" t="inlineStr">
        <is>
          <t xml:space="preserve">B</t>
        </is>
      </c>
      <c r="D218" s="2" t="inlineStr">
        <is>
          <t xml:space="preserve">Sin cambio</t>
        </is>
      </c>
    </row>
    <row r="219">
      <c r="A219" s="2">
        <v>215</v>
      </c>
      <c r="B219" s="2" t="inlineStr">
        <is>
          <t xml:space="preserve">T</t>
        </is>
      </c>
      <c r="C219" s="2" t="inlineStr">
        <is>
          <t xml:space="preserve">C</t>
        </is>
      </c>
      <c r="D219" s="2" t="inlineStr">
        <is>
          <t xml:space="preserve">Mejoría</t>
        </is>
      </c>
    </row>
    <row r="220">
      <c r="A220" s="2">
        <v>216</v>
      </c>
      <c r="B220" s="2" t="inlineStr">
        <is>
          <t xml:space="preserve">T</t>
        </is>
      </c>
      <c r="C220" s="2" t="inlineStr">
        <is>
          <t xml:space="preserve">A</t>
        </is>
      </c>
      <c r="D220" s="2" t="inlineStr">
        <is>
          <t xml:space="preserve">Sin cambio</t>
        </is>
      </c>
    </row>
    <row r="221">
      <c r="A221" s="2">
        <v>217</v>
      </c>
      <c r="B221" s="2" t="inlineStr">
        <is>
          <t xml:space="preserve">T</t>
        </is>
      </c>
      <c r="C221" s="2" t="inlineStr">
        <is>
          <t xml:space="preserve">B</t>
        </is>
      </c>
      <c r="D221" s="2" t="inlineStr">
        <is>
          <t xml:space="preserve">Empeoramiento</t>
        </is>
      </c>
    </row>
    <row r="222">
      <c r="A222" s="2">
        <v>218</v>
      </c>
      <c r="B222" s="2" t="inlineStr">
        <is>
          <t xml:space="preserve">T</t>
        </is>
      </c>
      <c r="C222" s="2" t="inlineStr">
        <is>
          <t xml:space="preserve">C</t>
        </is>
      </c>
      <c r="D222" s="2" t="inlineStr">
        <is>
          <t xml:space="preserve">Mejoría</t>
        </is>
      </c>
    </row>
    <row r="223">
      <c r="A223" s="2">
        <v>219</v>
      </c>
      <c r="B223" s="2" t="inlineStr">
        <is>
          <t xml:space="preserve">T</t>
        </is>
      </c>
      <c r="C223" s="2" t="inlineStr">
        <is>
          <t xml:space="preserve">A</t>
        </is>
      </c>
      <c r="D223" s="2" t="inlineStr">
        <is>
          <t xml:space="preserve">Mejoría</t>
        </is>
      </c>
    </row>
    <row r="224">
      <c r="A224" s="2">
        <v>220</v>
      </c>
      <c r="B224" s="2" t="inlineStr">
        <is>
          <t xml:space="preserve">T</t>
        </is>
      </c>
      <c r="C224" s="2" t="inlineStr">
        <is>
          <t xml:space="preserve">B</t>
        </is>
      </c>
      <c r="D224" s="2" t="inlineStr">
        <is>
          <t xml:space="preserve">Sin cambio</t>
        </is>
      </c>
    </row>
    <row r="225">
      <c r="A225" s="2">
        <v>221</v>
      </c>
      <c r="B225" s="2" t="inlineStr">
        <is>
          <t xml:space="preserve">P</t>
        </is>
      </c>
      <c r="C225" s="2" t="inlineStr">
        <is>
          <t xml:space="preserve">P</t>
        </is>
      </c>
      <c r="D225" s="2" t="inlineStr">
        <is>
          <t xml:space="preserve">Sin cambio</t>
        </is>
      </c>
    </row>
    <row r="226">
      <c r="A226" s="2">
        <v>222</v>
      </c>
      <c r="B226" s="2" t="inlineStr">
        <is>
          <t xml:space="preserve">P</t>
        </is>
      </c>
      <c r="C226" s="2" t="inlineStr">
        <is>
          <t xml:space="preserve">P</t>
        </is>
      </c>
      <c r="D226" s="2" t="inlineStr">
        <is>
          <t xml:space="preserve">Mejoría</t>
        </is>
      </c>
    </row>
    <row r="227">
      <c r="A227" s="2">
        <v>223</v>
      </c>
      <c r="B227" s="2" t="inlineStr">
        <is>
          <t xml:space="preserve">P</t>
        </is>
      </c>
      <c r="C227" s="2" t="inlineStr">
        <is>
          <t xml:space="preserve">P</t>
        </is>
      </c>
      <c r="D227" s="2" t="inlineStr">
        <is>
          <t xml:space="preserve">Mejoría</t>
        </is>
      </c>
    </row>
    <row r="228">
      <c r="A228" s="2">
        <v>224</v>
      </c>
      <c r="B228" s="2" t="inlineStr">
        <is>
          <t xml:space="preserve">P</t>
        </is>
      </c>
      <c r="C228" s="2" t="inlineStr">
        <is>
          <t xml:space="preserve">P</t>
        </is>
      </c>
      <c r="D228" s="2" t="inlineStr">
        <is>
          <t xml:space="preserve">Sin cambio</t>
        </is>
      </c>
    </row>
    <row r="229">
      <c r="A229" s="2">
        <v>225</v>
      </c>
      <c r="B229" s="2" t="inlineStr">
        <is>
          <t xml:space="preserve">P</t>
        </is>
      </c>
      <c r="C229" s="2" t="inlineStr">
        <is>
          <t xml:space="preserve">P</t>
        </is>
      </c>
      <c r="D229" s="2" t="inlineStr">
        <is>
          <t xml:space="preserve">Sin cambio</t>
        </is>
      </c>
    </row>
    <row r="230">
      <c r="A230" s="2">
        <v>226</v>
      </c>
      <c r="B230" s="2" t="inlineStr">
        <is>
          <t xml:space="preserve">P</t>
        </is>
      </c>
      <c r="C230" s="2" t="inlineStr">
        <is>
          <t xml:space="preserve">P</t>
        </is>
      </c>
      <c r="D230" s="2" t="inlineStr">
        <is>
          <t xml:space="preserve">Empeoramiento</t>
        </is>
      </c>
    </row>
    <row r="231">
      <c r="A231" s="2">
        <v>227</v>
      </c>
      <c r="B231" s="2" t="inlineStr">
        <is>
          <t xml:space="preserve">P</t>
        </is>
      </c>
      <c r="C231" s="2" t="inlineStr">
        <is>
          <t xml:space="preserve">P</t>
        </is>
      </c>
      <c r="D231" s="2" t="inlineStr">
        <is>
          <t xml:space="preserve">Sin cambio</t>
        </is>
      </c>
    </row>
    <row r="232">
      <c r="A232" s="2">
        <v>228</v>
      </c>
      <c r="B232" s="2" t="inlineStr">
        <is>
          <t xml:space="preserve">P</t>
        </is>
      </c>
      <c r="C232" s="2" t="inlineStr">
        <is>
          <t xml:space="preserve">P</t>
        </is>
      </c>
      <c r="D232" s="2" t="inlineStr">
        <is>
          <t xml:space="preserve">Sin cambio</t>
        </is>
      </c>
    </row>
    <row r="233">
      <c r="A233" s="2">
        <v>229</v>
      </c>
      <c r="B233" s="2" t="inlineStr">
        <is>
          <t xml:space="preserve">P</t>
        </is>
      </c>
      <c r="C233" s="2" t="inlineStr">
        <is>
          <t xml:space="preserve">P</t>
        </is>
      </c>
      <c r="D233" s="2" t="inlineStr">
        <is>
          <t xml:space="preserve">Mejoría</t>
        </is>
      </c>
    </row>
    <row r="234">
      <c r="A234" s="2">
        <v>230</v>
      </c>
      <c r="B234" s="2" t="inlineStr">
        <is>
          <t xml:space="preserve">P</t>
        </is>
      </c>
      <c r="C234" s="2" t="inlineStr">
        <is>
          <t xml:space="preserve">P</t>
        </is>
      </c>
      <c r="D234" s="2" t="inlineStr">
        <is>
          <t xml:space="preserve">Mejoría</t>
        </is>
      </c>
    </row>
    <row r="235">
      <c r="A235" s="2">
        <v>231</v>
      </c>
      <c r="B235" s="2" t="inlineStr">
        <is>
          <t xml:space="preserve">P</t>
        </is>
      </c>
      <c r="C235" s="2" t="inlineStr">
        <is>
          <t xml:space="preserve">P</t>
        </is>
      </c>
      <c r="D235" s="2" t="inlineStr">
        <is>
          <t xml:space="preserve">Mejoría</t>
        </is>
      </c>
    </row>
    <row r="236">
      <c r="A236" s="2">
        <v>232</v>
      </c>
      <c r="B236" s="2" t="inlineStr">
        <is>
          <t xml:space="preserve">P</t>
        </is>
      </c>
      <c r="C236" s="2" t="inlineStr">
        <is>
          <t xml:space="preserve">P</t>
        </is>
      </c>
      <c r="D236" s="2" t="inlineStr">
        <is>
          <t xml:space="preserve">Sin cambio</t>
        </is>
      </c>
    </row>
    <row r="237">
      <c r="A237" s="2">
        <v>233</v>
      </c>
      <c r="B237" s="2" t="inlineStr">
        <is>
          <t xml:space="preserve">P</t>
        </is>
      </c>
      <c r="C237" s="2" t="inlineStr">
        <is>
          <t xml:space="preserve">P</t>
        </is>
      </c>
      <c r="D237" s="2" t="inlineStr">
        <is>
          <t xml:space="preserve">Sin cambio</t>
        </is>
      </c>
    </row>
    <row r="238">
      <c r="A238" s="2">
        <v>234</v>
      </c>
      <c r="B238" s="2" t="inlineStr">
        <is>
          <t xml:space="preserve">P</t>
        </is>
      </c>
      <c r="C238" s="2" t="inlineStr">
        <is>
          <t xml:space="preserve">P</t>
        </is>
      </c>
      <c r="D238" s="2" t="inlineStr">
        <is>
          <t xml:space="preserve">Mejoría</t>
        </is>
      </c>
    </row>
    <row r="239">
      <c r="A239" s="2">
        <v>235</v>
      </c>
      <c r="B239" s="2" t="inlineStr">
        <is>
          <t xml:space="preserve">P</t>
        </is>
      </c>
      <c r="C239" s="2" t="inlineStr">
        <is>
          <t xml:space="preserve">P</t>
        </is>
      </c>
      <c r="D239" s="2" t="inlineStr">
        <is>
          <t xml:space="preserve">Mejoría</t>
        </is>
      </c>
    </row>
    <row r="240">
      <c r="A240" s="2">
        <v>236</v>
      </c>
      <c r="B240" s="2" t="inlineStr">
        <is>
          <t xml:space="preserve">P</t>
        </is>
      </c>
      <c r="C240" s="2" t="inlineStr">
        <is>
          <t xml:space="preserve">P</t>
        </is>
      </c>
      <c r="D240" s="2" t="inlineStr">
        <is>
          <t xml:space="preserve">Sin cambio</t>
        </is>
      </c>
    </row>
    <row r="241">
      <c r="A241" s="2">
        <v>237</v>
      </c>
      <c r="B241" s="2" t="inlineStr">
        <is>
          <t xml:space="preserve">P</t>
        </is>
      </c>
      <c r="C241" s="2" t="inlineStr">
        <is>
          <t xml:space="preserve">P</t>
        </is>
      </c>
      <c r="D241" s="2" t="inlineStr">
        <is>
          <t xml:space="preserve">Sin cambio</t>
        </is>
      </c>
    </row>
    <row r="242">
      <c r="A242" s="2">
        <v>238</v>
      </c>
      <c r="B242" s="2" t="inlineStr">
        <is>
          <t xml:space="preserve">P</t>
        </is>
      </c>
      <c r="C242" s="2" t="inlineStr">
        <is>
          <t xml:space="preserve">P</t>
        </is>
      </c>
      <c r="D242" s="2" t="inlineStr">
        <is>
          <t xml:space="preserve">Sin cambio</t>
        </is>
      </c>
    </row>
    <row r="243">
      <c r="A243" s="2">
        <v>239</v>
      </c>
      <c r="B243" s="2" t="inlineStr">
        <is>
          <t xml:space="preserve">P</t>
        </is>
      </c>
      <c r="C243" s="2" t="inlineStr">
        <is>
          <t xml:space="preserve">P</t>
        </is>
      </c>
      <c r="D243" s="2" t="inlineStr">
        <is>
          <t xml:space="preserve">Sin cambio</t>
        </is>
      </c>
    </row>
    <row r="244">
      <c r="A244" s="2">
        <v>240</v>
      </c>
      <c r="B244" s="2" t="inlineStr">
        <is>
          <t xml:space="preserve">P</t>
        </is>
      </c>
      <c r="C244" s="2" t="inlineStr">
        <is>
          <t xml:space="preserve">P</t>
        </is>
      </c>
      <c r="D244" s="2" t="inlineStr">
        <is>
          <t xml:space="preserve">Sin cambio</t>
        </is>
      </c>
    </row>
    <row r="245">
      <c r="A245" s="2">
        <v>241</v>
      </c>
      <c r="B245" s="2" t="inlineStr">
        <is>
          <t xml:space="preserve">P</t>
        </is>
      </c>
      <c r="C245" s="2" t="inlineStr">
        <is>
          <t xml:space="preserve">P</t>
        </is>
      </c>
      <c r="D245" s="2" t="inlineStr">
        <is>
          <t xml:space="preserve">Mejoría</t>
        </is>
      </c>
    </row>
    <row r="246">
      <c r="A246" s="2">
        <v>242</v>
      </c>
      <c r="B246" s="2" t="inlineStr">
        <is>
          <t xml:space="preserve">P</t>
        </is>
      </c>
      <c r="C246" s="2" t="inlineStr">
        <is>
          <t xml:space="preserve">P</t>
        </is>
      </c>
      <c r="D246" s="2" t="inlineStr">
        <is>
          <t xml:space="preserve">Sin cambio</t>
        </is>
      </c>
    </row>
    <row r="247">
      <c r="A247" s="2">
        <v>243</v>
      </c>
      <c r="B247" s="2" t="inlineStr">
        <is>
          <t xml:space="preserve">P</t>
        </is>
      </c>
      <c r="C247" s="2" t="inlineStr">
        <is>
          <t xml:space="preserve">P</t>
        </is>
      </c>
      <c r="D247" s="2" t="inlineStr">
        <is>
          <t xml:space="preserve">Mejoría</t>
        </is>
      </c>
    </row>
    <row r="248">
      <c r="A248" s="2">
        <v>244</v>
      </c>
      <c r="B248" s="2" t="inlineStr">
        <is>
          <t xml:space="preserve">P</t>
        </is>
      </c>
      <c r="C248" s="2" t="inlineStr">
        <is>
          <t xml:space="preserve">P</t>
        </is>
      </c>
      <c r="D248" s="2" t="inlineStr">
        <is>
          <t xml:space="preserve">Sin cambio</t>
        </is>
      </c>
    </row>
    <row r="249">
      <c r="A249" s="2">
        <v>245</v>
      </c>
      <c r="B249" s="2" t="inlineStr">
        <is>
          <t xml:space="preserve">P</t>
        </is>
      </c>
      <c r="C249" s="2" t="inlineStr">
        <is>
          <t xml:space="preserve">P</t>
        </is>
      </c>
      <c r="D249" s="2" t="inlineStr">
        <is>
          <t xml:space="preserve">Empeoramiento</t>
        </is>
      </c>
    </row>
    <row r="250">
      <c r="A250" s="2">
        <v>246</v>
      </c>
      <c r="B250" s="2" t="inlineStr">
        <is>
          <t xml:space="preserve">P</t>
        </is>
      </c>
      <c r="C250" s="2" t="inlineStr">
        <is>
          <t xml:space="preserve">P</t>
        </is>
      </c>
      <c r="D250" s="2" t="inlineStr">
        <is>
          <t xml:space="preserve">Sin cambio</t>
        </is>
      </c>
    </row>
    <row r="251">
      <c r="A251" s="2">
        <v>247</v>
      </c>
      <c r="B251" s="2" t="inlineStr">
        <is>
          <t xml:space="preserve">P</t>
        </is>
      </c>
      <c r="C251" s="2" t="inlineStr">
        <is>
          <t xml:space="preserve">P</t>
        </is>
      </c>
      <c r="D251" s="2" t="inlineStr">
        <is>
          <t xml:space="preserve">Sin cambio</t>
        </is>
      </c>
    </row>
  </sheetData>
  <pageMargins left="0.4" right="0.4" top="0.5" bottom="0.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25" customWidth="1"/>
    <col min="2" max="2" width="65" customWidth="1"/>
    <col min="3" max="3" width="22" customWidth="1"/>
    <col min="4" max="4" width="22" customWidth="1"/>
    <col min="5" max="5" width="22" customWidth="1"/>
  </cols>
  <sheetData>
    <row r="1">
      <c r="A1" s="1" t="inlineStr">
        <is>
          <t xml:space="preserve">Búsqueda exacta · Arancel FNS de clase</t>
        </is>
      </c>
    </row>
    <row r="2">
      <c r="A2" s="0" t="inlineStr">
        <is>
          <t xml:space="preserve">Valores del archivo; no se presentan como aranceles actuales. Códigos almacenados como texto.</t>
        </is>
      </c>
    </row>
    <row r="4">
      <c r="A4" s="1" t="inlineStr">
        <is>
          <t xml:space="preserve">Código</t>
        </is>
      </c>
      <c r="B4" s="1" t="inlineStr">
        <is>
          <t xml:space="preserve">Prestación</t>
        </is>
      </c>
      <c r="C4" s="1" t="inlineStr">
        <is>
          <t xml:space="preserve">Total nivel 1</t>
        </is>
      </c>
      <c r="D4" s="1" t="inlineStr">
        <is>
          <t xml:space="preserve">Total nivel 2</t>
        </is>
      </c>
      <c r="E4" s="1" t="inlineStr">
        <is>
          <t xml:space="preserve">Total nivel 3</t>
        </is>
      </c>
    </row>
    <row r="5">
      <c r="A5" s="2" t="inlineStr">
        <is>
          <t xml:space="preserve">0101001</t>
        </is>
      </c>
      <c r="B5" s="2" t="inlineStr">
        <is>
          <t xml:space="preserve">Consulta Medicina General</t>
        </is>
      </c>
      <c r="C5" s="2">
        <v>11000</v>
      </c>
      <c r="D5" s="2">
        <v>11780</v>
      </c>
      <c r="E5" s="2">
        <v>13780</v>
      </c>
    </row>
    <row r="6">
      <c r="A6" s="2" t="inlineStr">
        <is>
          <t xml:space="preserve">0101201</t>
        </is>
      </c>
      <c r="B6" s="2" t="inlineStr">
        <is>
          <t xml:space="preserve">Consulta Médica de Especialidad en Dermatología</t>
        </is>
      </c>
      <c r="C6" s="2">
        <v>15550</v>
      </c>
      <c r="D6" s="2">
        <v>20220</v>
      </c>
      <c r="E6" s="2">
        <v>24880</v>
      </c>
    </row>
    <row r="7">
      <c r="A7" s="2" t="inlineStr">
        <is>
          <t xml:space="preserve">0101202</t>
        </is>
      </c>
      <c r="B7" s="2" t="inlineStr">
        <is>
          <t xml:space="preserve">Consulta Médica de Especialidad en Geriatría</t>
        </is>
      </c>
      <c r="C7" s="2">
        <v>15550</v>
      </c>
      <c r="D7" s="2">
        <v>20220</v>
      </c>
      <c r="E7" s="2">
        <v>24880</v>
      </c>
    </row>
    <row r="8">
      <c r="A8" s="2" t="inlineStr">
        <is>
          <t xml:space="preserve">0101203</t>
        </is>
      </c>
      <c r="B8" s="2" t="inlineStr">
        <is>
          <t xml:space="preserve">Consulta Médica de Especialidad en Neurocirugía</t>
        </is>
      </c>
      <c r="C8" s="2">
        <v>15550</v>
      </c>
      <c r="D8" s="2">
        <v>20220</v>
      </c>
      <c r="E8" s="2">
        <v>24880</v>
      </c>
    </row>
    <row r="9">
      <c r="A9" s="2" t="inlineStr">
        <is>
          <t xml:space="preserve">0101204</t>
        </is>
      </c>
      <c r="B9" s="2" t="inlineStr">
        <is>
          <t xml:space="preserve">Consulta Médica de Especialidad en Oftalmología</t>
        </is>
      </c>
      <c r="C9" s="2">
        <v>15550</v>
      </c>
      <c r="D9" s="2">
        <v>20220</v>
      </c>
      <c r="E9" s="2">
        <v>24880</v>
      </c>
    </row>
    <row r="10">
      <c r="A10" s="2" t="inlineStr">
        <is>
          <t xml:space="preserve">0101205</t>
        </is>
      </c>
      <c r="B10" s="2" t="inlineStr">
        <is>
          <t xml:space="preserve">Consulta Médica de Especialidad en Otorrinolaringología</t>
        </is>
      </c>
      <c r="C10" s="2">
        <v>15550</v>
      </c>
      <c r="D10" s="2">
        <v>20220</v>
      </c>
      <c r="E10" s="2">
        <v>24880</v>
      </c>
    </row>
    <row r="11">
      <c r="A11" s="2" t="inlineStr">
        <is>
          <t xml:space="preserve">0101206</t>
        </is>
      </c>
      <c r="B11" s="2" t="inlineStr">
        <is>
          <t xml:space="preserve">Consulta Médica de Especialidad en Reumatología</t>
        </is>
      </c>
      <c r="C11" s="2">
        <v>15550</v>
      </c>
      <c r="D11" s="2">
        <v>20220</v>
      </c>
      <c r="E11" s="2">
        <v>24880</v>
      </c>
    </row>
    <row r="12">
      <c r="A12" s="2" t="inlineStr">
        <is>
          <t xml:space="preserve">0101207</t>
        </is>
      </c>
      <c r="B12" s="2" t="inlineStr">
        <is>
          <t xml:space="preserve">Consulta Médica de Especialidad en Endocrinología Adulto</t>
        </is>
      </c>
      <c r="C12" s="2">
        <v>15550</v>
      </c>
      <c r="D12" s="2">
        <v>20220</v>
      </c>
      <c r="E12" s="2">
        <v>24880</v>
      </c>
    </row>
    <row r="13">
      <c r="A13" s="2" t="inlineStr">
        <is>
          <t xml:space="preserve">0101208</t>
        </is>
      </c>
      <c r="B13" s="2" t="inlineStr">
        <is>
          <t xml:space="preserve">Consulta Médica de Especialidad en Endocrinología Pediátrica</t>
        </is>
      </c>
      <c r="C13" s="2">
        <v>15550</v>
      </c>
      <c r="D13" s="2">
        <v>20220</v>
      </c>
      <c r="E13" s="2">
        <v>24880</v>
      </c>
    </row>
    <row r="14">
      <c r="A14" s="2" t="inlineStr">
        <is>
          <t xml:space="preserve">0101209</t>
        </is>
      </c>
      <c r="B14" s="2" t="inlineStr">
        <is>
          <t xml:space="preserve">Consulta Médica de Especialidad en Neurología Adultos</t>
        </is>
      </c>
      <c r="C14" s="2">
        <v>15550</v>
      </c>
      <c r="D14" s="2">
        <v>20220</v>
      </c>
      <c r="E14" s="2">
        <v>24880</v>
      </c>
    </row>
    <row r="15">
      <c r="A15" s="2" t="inlineStr">
        <is>
          <t xml:space="preserve">0101210</t>
        </is>
      </c>
      <c r="B15" s="2" t="inlineStr">
        <is>
          <t xml:space="preserve">Consulta Médica de Especialidad en Neurología Pediátrica</t>
        </is>
      </c>
      <c r="C15" s="2">
        <v>15550</v>
      </c>
      <c r="D15" s="2">
        <v>20220</v>
      </c>
      <c r="E15" s="2">
        <v>24880</v>
      </c>
    </row>
    <row r="16">
      <c r="A16" s="2" t="inlineStr">
        <is>
          <t xml:space="preserve">0101211</t>
        </is>
      </c>
      <c r="B16" s="2" t="inlineStr">
        <is>
          <t xml:space="preserve">Consulta Médica de Especialidad en Oncología Médica</t>
        </is>
      </c>
      <c r="C16" s="2">
        <v>15550</v>
      </c>
      <c r="D16" s="2">
        <v>20220</v>
      </c>
      <c r="E16" s="2">
        <v>24880</v>
      </c>
    </row>
    <row r="19">
      <c r="A19" s="0" t="inlineStr">
        <is>
          <t xml:space="preserve">Código para buscar</t>
        </is>
      </c>
      <c r="B19" s="2" t="inlineStr">
        <is>
          <t xml:space="preserve">0101001</t>
        </is>
      </c>
    </row>
    <row r="20">
      <c r="A20" s="0" t="inlineStr">
        <is>
          <t xml:space="preserve">Nombre encontrado</t>
        </is>
      </c>
      <c r="B20" s="3" t="str">
        <f>IFERROR(VLOOKUP(B19,A5:E16,2,FALSE),"No encontrado")</f>
        <v>Consulta Medicina General</v>
      </c>
    </row>
    <row r="23">
      <c r="A23" s="1" t="inlineStr">
        <is>
          <t xml:space="preserve">Nivel</t>
        </is>
      </c>
      <c r="B23" s="1" t="inlineStr">
        <is>
          <t xml:space="preserve">Valor encontrado</t>
        </is>
      </c>
    </row>
    <row r="24">
      <c r="A24" s="0" t="inlineStr">
        <is>
          <t xml:space="preserve">Nivel 1</t>
        </is>
      </c>
      <c r="B24" s="3">
        <f>IFERROR(VLOOKUP($B$19,$A$5:$E$16,3,FALSE),0)</f>
        <v>11000</v>
      </c>
    </row>
    <row r="25">
      <c r="A25" s="0" t="inlineStr">
        <is>
          <t xml:space="preserve">Nivel 2</t>
        </is>
      </c>
      <c r="B25" s="3">
        <f>IFERROR(VLOOKUP($B$19,$A$5:$E$16,4,FALSE),0)</f>
        <v>11780</v>
      </c>
    </row>
    <row r="26">
      <c r="A26" s="0" t="inlineStr">
        <is>
          <t xml:space="preserve">Nivel 3</t>
        </is>
      </c>
      <c r="B26" s="3">
        <f>IFERROR(VLOOKUP($B$19,$A$5:$E$16,5,FALSE),0)</f>
        <v>13780</v>
      </c>
    </row>
  </sheetData>
  <dataValidations count="1">
    <dataValidation type="list" allowBlank="0" showErrorMessage="1" errorTitle="Código inválido" error="Selecciona un código del catálogo" sqref="B19">
      <formula1>$A$5:$A$16</formula1>
    </dataValidation>
  </dataValidations>
  <pageMargins left="0.4" right="0.4" top="0.5" bottom="0.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30" customWidth="1"/>
    <col min="2" max="2" width="23" customWidth="1"/>
    <col min="3" max="3" width="25" customWidth="1"/>
    <col min="4" max="4" width="23" customWidth="1"/>
  </cols>
  <sheetData>
    <row r="1">
      <c r="A1" s="1" t="inlineStr">
        <is>
          <t xml:space="preserve">Países y territorios de la clase</t>
        </is>
      </c>
    </row>
    <row r="2">
      <c r="A2" s="0" t="inlineStr">
        <is>
          <t xml:space="preserve">226 registros históricos. Fuente para crear una tabla dinámica.</t>
        </is>
      </c>
    </row>
    <row r="4">
      <c r="A4" s="1" t="inlineStr">
        <is>
          <t xml:space="preserve">País</t>
        </is>
      </c>
      <c r="B4" s="1" t="inlineStr">
        <is>
          <t xml:space="preserve">Esperanza vida</t>
        </is>
      </c>
      <c r="C4" s="1" t="inlineStr">
        <is>
          <t xml:space="preserve">Continente</t>
        </is>
      </c>
      <c r="D4" s="1" t="inlineStr">
        <is>
          <t xml:space="preserve">Ingreso PPP</t>
        </is>
      </c>
    </row>
    <row r="5">
      <c r="A5" s="2" t="inlineStr">
        <is>
          <t xml:space="preserve">Afghanistan</t>
        </is>
      </c>
      <c r="B5" s="2">
        <v>44.21</v>
      </c>
      <c r="C5" s="2" t="inlineStr">
        <is>
          <t xml:space="preserve">Asia</t>
        </is>
      </c>
      <c r="D5" s="2">
        <v>800</v>
      </c>
    </row>
    <row r="6">
      <c r="A6" s="2" t="inlineStr">
        <is>
          <t xml:space="preserve">Albania</t>
        </is>
      </c>
      <c r="B6" s="2">
        <v>77.78</v>
      </c>
      <c r="C6" s="2" t="inlineStr">
        <is>
          <t xml:space="preserve">Europa</t>
        </is>
      </c>
      <c r="D6" s="2">
        <v>6000</v>
      </c>
    </row>
    <row r="7">
      <c r="A7" s="2" t="inlineStr">
        <is>
          <t xml:space="preserve">Algeria</t>
        </is>
      </c>
      <c r="B7" s="2">
        <v>73.77</v>
      </c>
      <c r="C7" s="2" t="inlineStr">
        <is>
          <t xml:space="preserve">Africa</t>
        </is>
      </c>
      <c r="D7" s="2">
        <v>7000</v>
      </c>
    </row>
    <row r="8">
      <c r="A8" s="2" t="inlineStr">
        <is>
          <t xml:space="preserve">Samoa</t>
        </is>
      </c>
      <c r="B8" s="2">
        <v>76.45</v>
      </c>
      <c r="C8" s="2" t="inlineStr">
        <is>
          <t xml:space="preserve">Oceanía</t>
        </is>
      </c>
      <c r="D8" s="2">
        <v>8000</v>
      </c>
    </row>
    <row r="9">
      <c r="A9" s="2" t="inlineStr">
        <is>
          <t xml:space="preserve">Andorra</t>
        </is>
      </c>
      <c r="B9" s="2">
        <v>83.53</v>
      </c>
      <c r="C9" s="2" t="inlineStr">
        <is>
          <t xml:space="preserve">Europa</t>
        </is>
      </c>
      <c r="D9" s="2">
        <v>42500</v>
      </c>
    </row>
    <row r="10">
      <c r="A10" s="2" t="inlineStr">
        <is>
          <t xml:space="preserve">Angola</t>
        </is>
      </c>
      <c r="B10" s="2">
        <v>37.92</v>
      </c>
      <c r="C10" s="2" t="inlineStr">
        <is>
          <t xml:space="preserve">Africa</t>
        </is>
      </c>
      <c r="D10" s="2">
        <v>8800</v>
      </c>
    </row>
    <row r="11">
      <c r="A11" s="2" t="inlineStr">
        <is>
          <t xml:space="preserve">Anguilla</t>
        </is>
      </c>
      <c r="B11" s="2">
        <v>80.53</v>
      </c>
      <c r="C11" s="2" t="inlineStr">
        <is>
          <t xml:space="preserve">Norte América</t>
        </is>
      </c>
      <c r="D11" s="2">
        <v>8800</v>
      </c>
    </row>
    <row r="12">
      <c r="A12" s="2" t="inlineStr">
        <is>
          <t xml:space="preserve">Antigua and Barbuda</t>
        </is>
      </c>
      <c r="B12" s="2">
        <v>72.69</v>
      </c>
      <c r="C12" s="2" t="inlineStr">
        <is>
          <t xml:space="preserve">Norte América</t>
        </is>
      </c>
      <c r="D12" s="2">
        <v>19000</v>
      </c>
    </row>
    <row r="13">
      <c r="A13" s="2" t="inlineStr">
        <is>
          <t xml:space="preserve">Argentina</t>
        </is>
      </c>
      <c r="B13" s="2">
        <v>76.52</v>
      </c>
      <c r="C13" s="2" t="inlineStr">
        <is>
          <t xml:space="preserve">Sur América</t>
        </is>
      </c>
      <c r="D13" s="2">
        <v>14200</v>
      </c>
    </row>
    <row r="14">
      <c r="A14" s="2" t="inlineStr">
        <is>
          <t xml:space="preserve">Armenia</t>
        </is>
      </c>
      <c r="B14" s="2">
        <v>72.4</v>
      </c>
      <c r="C14" s="2" t="inlineStr">
        <is>
          <t xml:space="preserve">Asia</t>
        </is>
      </c>
      <c r="D14" s="2">
        <v>6400</v>
      </c>
    </row>
    <row r="15">
      <c r="A15" s="2" t="inlineStr">
        <is>
          <t xml:space="preserve">Aruba</t>
        </is>
      </c>
      <c r="B15" s="2">
        <v>75.06</v>
      </c>
      <c r="C15" s="2" t="inlineStr">
        <is>
          <t xml:space="preserve">Norte América</t>
        </is>
      </c>
      <c r="D15" s="2">
        <v>21800</v>
      </c>
    </row>
    <row r="16">
      <c r="A16" s="2" t="inlineStr">
        <is>
          <t xml:space="preserve">Australia</t>
        </is>
      </c>
      <c r="B16" s="2">
        <v>80.73</v>
      </c>
      <c r="C16" s="2" t="inlineStr">
        <is>
          <t xml:space="preserve">Oceanía</t>
        </is>
      </c>
      <c r="D16" s="2">
        <v>38100</v>
      </c>
    </row>
    <row r="17">
      <c r="A17" s="2" t="inlineStr">
        <is>
          <t xml:space="preserve">Austria</t>
        </is>
      </c>
      <c r="B17" s="2">
        <v>79.36</v>
      </c>
      <c r="C17" s="2" t="inlineStr">
        <is>
          <t xml:space="preserve">Europa</t>
        </is>
      </c>
      <c r="D17" s="2">
        <v>39200</v>
      </c>
    </row>
    <row r="18">
      <c r="A18" s="2" t="inlineStr">
        <is>
          <t xml:space="preserve">Azerbaijan</t>
        </is>
      </c>
      <c r="B18" s="2">
        <v>66.31</v>
      </c>
      <c r="C18" s="2" t="inlineStr">
        <is>
          <t xml:space="preserve">Asia</t>
        </is>
      </c>
      <c r="D18" s="2">
        <v>9000</v>
      </c>
    </row>
    <row r="19">
      <c r="A19" s="2" t="inlineStr">
        <is>
          <t xml:space="preserve">Bahamas</t>
        </is>
      </c>
      <c r="B19" s="2">
        <v>65.72</v>
      </c>
      <c r="C19" s="2" t="inlineStr">
        <is>
          <t xml:space="preserve">Norte América</t>
        </is>
      </c>
      <c r="D19" s="2">
        <v>28600</v>
      </c>
    </row>
    <row r="20">
      <c r="A20" s="2" t="inlineStr">
        <is>
          <t xml:space="preserve">Bahrain</t>
        </is>
      </c>
      <c r="B20" s="2">
        <v>74.92</v>
      </c>
      <c r="C20" s="2" t="inlineStr">
        <is>
          <t xml:space="preserve">Asia</t>
        </is>
      </c>
      <c r="D20" s="2">
        <v>37200</v>
      </c>
    </row>
    <row r="21">
      <c r="A21" s="2" t="inlineStr">
        <is>
          <t xml:space="preserve">Bangladesh</t>
        </is>
      </c>
      <c r="B21" s="2">
        <v>63.21</v>
      </c>
      <c r="C21" s="2" t="inlineStr">
        <is>
          <t xml:space="preserve">Asia</t>
        </is>
      </c>
      <c r="D21" s="2">
        <v>1500</v>
      </c>
    </row>
    <row r="22">
      <c r="A22" s="2" t="inlineStr">
        <is>
          <t xml:space="preserve">Barbados</t>
        </is>
      </c>
      <c r="B22" s="2">
        <v>73.21</v>
      </c>
      <c r="C22" s="2" t="inlineStr">
        <is>
          <t xml:space="preserve">Norte América</t>
        </is>
      </c>
      <c r="D22" s="2">
        <v>19300</v>
      </c>
    </row>
    <row r="23">
      <c r="A23" s="2" t="inlineStr">
        <is>
          <t xml:space="preserve">Belarus</t>
        </is>
      </c>
      <c r="B23" s="2">
        <v>70.34</v>
      </c>
      <c r="C23" s="2" t="inlineStr">
        <is>
          <t xml:space="preserve">Europa</t>
        </is>
      </c>
      <c r="D23" s="2">
        <v>11800</v>
      </c>
    </row>
    <row r="24">
      <c r="A24" s="2" t="inlineStr">
        <is>
          <t xml:space="preserve">Belgium</t>
        </is>
      </c>
      <c r="B24" s="2">
        <v>79.07</v>
      </c>
      <c r="C24" s="2" t="inlineStr">
        <is>
          <t xml:space="preserve">Europa</t>
        </is>
      </c>
      <c r="D24" s="2">
        <v>37500</v>
      </c>
    </row>
    <row r="25">
      <c r="A25" s="2" t="inlineStr">
        <is>
          <t xml:space="preserve">Belize</t>
        </is>
      </c>
      <c r="B25" s="2">
        <v>68.19</v>
      </c>
      <c r="C25" s="2" t="inlineStr">
        <is>
          <t xml:space="preserve">Norte América</t>
        </is>
      </c>
      <c r="D25" s="2">
        <v>8600</v>
      </c>
    </row>
    <row r="26">
      <c r="A26" s="2" t="inlineStr">
        <is>
          <t xml:space="preserve">Benin</t>
        </is>
      </c>
      <c r="B26" s="2">
        <v>53.85</v>
      </c>
      <c r="C26" s="2" t="inlineStr">
        <is>
          <t xml:space="preserve">Africa</t>
        </is>
      </c>
      <c r="D26" s="2">
        <v>1500</v>
      </c>
    </row>
    <row r="27">
      <c r="A27" s="2" t="inlineStr">
        <is>
          <t xml:space="preserve">Bermuda</t>
        </is>
      </c>
      <c r="B27" s="2">
        <v>78.3</v>
      </c>
      <c r="C27" s="2" t="inlineStr">
        <is>
          <t xml:space="preserve">Norte América</t>
        </is>
      </c>
      <c r="D27" s="2">
        <v>69900</v>
      </c>
    </row>
    <row r="28">
      <c r="A28" s="2" t="inlineStr">
        <is>
          <t xml:space="preserve">Bhutan</t>
        </is>
      </c>
      <c r="B28" s="2">
        <v>65.53</v>
      </c>
      <c r="C28" s="2" t="inlineStr">
        <is>
          <t xml:space="preserve">Asia</t>
        </is>
      </c>
      <c r="D28" s="2">
        <v>5600</v>
      </c>
    </row>
    <row r="29">
      <c r="A29" s="2" t="inlineStr">
        <is>
          <t xml:space="preserve">Bolivia</t>
        </is>
      </c>
      <c r="B29" s="2">
        <v>66.53</v>
      </c>
      <c r="C29" s="2" t="inlineStr">
        <is>
          <t xml:space="preserve">Sur América</t>
        </is>
      </c>
      <c r="D29" s="2">
        <v>4500</v>
      </c>
    </row>
    <row r="30">
      <c r="A30" s="2" t="inlineStr">
        <is>
          <t xml:space="preserve">Bosnia and Herzegovina</t>
        </is>
      </c>
      <c r="B30" s="2">
        <v>78.33</v>
      </c>
      <c r="C30" s="2" t="inlineStr">
        <is>
          <t xml:space="preserve">Europa</t>
        </is>
      </c>
      <c r="D30" s="2">
        <v>6500</v>
      </c>
    </row>
    <row r="31">
      <c r="A31" s="2" t="inlineStr">
        <is>
          <t xml:space="preserve">Botswana</t>
        </is>
      </c>
      <c r="B31" s="2">
        <v>50.16</v>
      </c>
      <c r="C31" s="2" t="inlineStr">
        <is>
          <t xml:space="preserve">Africa</t>
        </is>
      </c>
      <c r="D31" s="2">
        <v>13300</v>
      </c>
    </row>
    <row r="32">
      <c r="A32" s="2" t="inlineStr">
        <is>
          <t xml:space="preserve">Brazil</t>
        </is>
      </c>
      <c r="B32" s="2">
        <v>72.51</v>
      </c>
      <c r="C32" s="2" t="inlineStr">
        <is>
          <t xml:space="preserve">Sur América</t>
        </is>
      </c>
      <c r="D32" s="2">
        <v>10100</v>
      </c>
    </row>
    <row r="33">
      <c r="A33" s="2" t="inlineStr">
        <is>
          <t xml:space="preserve">British Virgin Islands</t>
        </is>
      </c>
      <c r="B33" s="2">
        <v>77.06</v>
      </c>
      <c r="C33" s="2" t="inlineStr">
        <is>
          <t xml:space="preserve">Norte América</t>
        </is>
      </c>
      <c r="D33" s="2">
        <v>38500</v>
      </c>
    </row>
    <row r="34">
      <c r="A34" s="2" t="inlineStr">
        <is>
          <t xml:space="preserve">Brunei</t>
        </is>
      </c>
      <c r="B34" s="2">
        <v>75.52</v>
      </c>
      <c r="C34" s="2" t="inlineStr">
        <is>
          <t xml:space="preserve">Asia</t>
        </is>
      </c>
      <c r="D34" s="2">
        <v>53100</v>
      </c>
    </row>
    <row r="35">
      <c r="A35" s="2" t="inlineStr">
        <is>
          <t xml:space="preserve">Bulgaria</t>
        </is>
      </c>
      <c r="B35" s="2">
        <v>72.83</v>
      </c>
      <c r="C35" s="2" t="inlineStr">
        <is>
          <t xml:space="preserve">Europa</t>
        </is>
      </c>
      <c r="D35" s="2">
        <v>12900</v>
      </c>
    </row>
    <row r="36">
      <c r="A36" s="2" t="inlineStr">
        <is>
          <t xml:space="preserve">Burkina Faso</t>
        </is>
      </c>
      <c r="B36" s="2">
        <v>52.55</v>
      </c>
      <c r="C36" s="2" t="inlineStr">
        <is>
          <t xml:space="preserve">Africa</t>
        </is>
      </c>
      <c r="D36" s="2">
        <v>1200</v>
      </c>
    </row>
    <row r="37">
      <c r="A37" s="2" t="inlineStr">
        <is>
          <t xml:space="preserve">Burma</t>
        </is>
      </c>
      <c r="B37" s="2">
        <v>62.94</v>
      </c>
      <c r="C37" s="2" t="inlineStr">
        <is>
          <t xml:space="preserve">Asia</t>
        </is>
      </c>
      <c r="D37" s="2">
        <v>1200</v>
      </c>
    </row>
    <row r="38">
      <c r="A38" s="2" t="inlineStr">
        <is>
          <t xml:space="preserve">Burundi</t>
        </is>
      </c>
      <c r="B38" s="2">
        <v>51.71</v>
      </c>
      <c r="C38" s="2" t="inlineStr">
        <is>
          <t xml:space="preserve">Africa</t>
        </is>
      </c>
      <c r="D38" s="2">
        <v>400</v>
      </c>
    </row>
    <row r="39">
      <c r="A39" s="2" t="inlineStr">
        <is>
          <t xml:space="preserve">Cambodia</t>
        </is>
      </c>
      <c r="B39" s="2">
        <v>61.69</v>
      </c>
      <c r="C39" s="2" t="inlineStr">
        <is>
          <t xml:space="preserve">Asia</t>
        </is>
      </c>
      <c r="D39" s="2">
        <v>2000</v>
      </c>
    </row>
    <row r="40">
      <c r="A40" s="2" t="inlineStr">
        <is>
          <t xml:space="preserve">Cameroon</t>
        </is>
      </c>
      <c r="B40" s="2">
        <v>53.3</v>
      </c>
      <c r="C40" s="2" t="inlineStr">
        <is>
          <t xml:space="preserve">Africa</t>
        </is>
      </c>
      <c r="D40" s="2">
        <v>2300</v>
      </c>
    </row>
    <row r="41">
      <c r="A41" s="2" t="inlineStr">
        <is>
          <t xml:space="preserve">Canada</t>
        </is>
      </c>
      <c r="B41" s="2">
        <v>81.16</v>
      </c>
      <c r="C41" s="2" t="inlineStr">
        <is>
          <t xml:space="preserve">Norte América</t>
        </is>
      </c>
      <c r="D41" s="2">
        <v>39300</v>
      </c>
    </row>
    <row r="42">
      <c r="A42" s="2" t="inlineStr">
        <is>
          <t xml:space="preserve">Cape Verde</t>
        </is>
      </c>
      <c r="B42" s="2">
        <v>71.33</v>
      </c>
      <c r="C42" s="2" t="inlineStr">
        <is>
          <t xml:space="preserve">Africa</t>
        </is>
      </c>
      <c r="D42" s="2">
        <v>3800</v>
      </c>
    </row>
    <row r="43">
      <c r="A43" s="2" t="inlineStr">
        <is>
          <t xml:space="preserve">Cayman Islands</t>
        </is>
      </c>
      <c r="B43" s="2">
        <v>80.32</v>
      </c>
      <c r="C43" s="2" t="inlineStr">
        <is>
          <t xml:space="preserve">Norte América</t>
        </is>
      </c>
      <c r="D43" s="2">
        <v>43800</v>
      </c>
    </row>
    <row r="44">
      <c r="A44" s="2" t="inlineStr">
        <is>
          <t xml:space="preserve">Central African Republic</t>
        </is>
      </c>
      <c r="B44" s="2">
        <v>43.97</v>
      </c>
      <c r="C44" s="2" t="inlineStr">
        <is>
          <t xml:space="preserve">Africa</t>
        </is>
      </c>
      <c r="D44" s="2">
        <v>700</v>
      </c>
    </row>
    <row r="45">
      <c r="A45" s="2" t="inlineStr">
        <is>
          <t xml:space="preserve">Chad</t>
        </is>
      </c>
      <c r="B45" s="2">
        <v>47.43</v>
      </c>
      <c r="C45" s="2" t="inlineStr">
        <is>
          <t xml:space="preserve">Africa</t>
        </is>
      </c>
      <c r="D45" s="2">
        <v>1600</v>
      </c>
    </row>
    <row r="46">
      <c r="A46" s="2" t="inlineStr">
        <is>
          <t xml:space="preserve">Chile</t>
        </is>
      </c>
      <c r="B46" s="2">
        <v>77.15</v>
      </c>
      <c r="C46" s="2" t="inlineStr">
        <is>
          <t xml:space="preserve">Sur América</t>
        </is>
      </c>
      <c r="D46" s="2">
        <v>14900</v>
      </c>
    </row>
    <row r="47">
      <c r="A47" s="2" t="inlineStr">
        <is>
          <t xml:space="preserve">China, People's Republic of</t>
        </is>
      </c>
      <c r="B47" s="2">
        <v>73.18</v>
      </c>
      <c r="C47" s="2" t="inlineStr">
        <is>
          <t xml:space="preserve">Asia</t>
        </is>
      </c>
      <c r="D47" s="2">
        <v>6000</v>
      </c>
    </row>
    <row r="48">
      <c r="A48" s="2" t="inlineStr">
        <is>
          <t xml:space="preserve">Colombia</t>
        </is>
      </c>
      <c r="B48" s="2">
        <v>72.54</v>
      </c>
      <c r="C48" s="2" t="inlineStr">
        <is>
          <t xml:space="preserve">Sur América</t>
        </is>
      </c>
      <c r="D48" s="2">
        <v>8900</v>
      </c>
    </row>
    <row r="49">
      <c r="A49" s="2" t="inlineStr">
        <is>
          <t xml:space="preserve">Comoros</t>
        </is>
      </c>
      <c r="B49" s="2">
        <v>63.1</v>
      </c>
      <c r="C49" s="2" t="inlineStr">
        <is>
          <t xml:space="preserve">Africa</t>
        </is>
      </c>
      <c r="D49" s="2">
        <v>1000</v>
      </c>
    </row>
    <row r="50">
      <c r="A50" s="2" t="inlineStr">
        <is>
          <t xml:space="preserve">Congo, Democratic Republic of the</t>
        </is>
      </c>
      <c r="B50" s="2">
        <v>53.98</v>
      </c>
      <c r="C50" s="2" t="inlineStr">
        <is>
          <t xml:space="preserve">Africa</t>
        </is>
      </c>
      <c r="D50" s="2">
        <v>300</v>
      </c>
    </row>
    <row r="51">
      <c r="A51" s="2" t="inlineStr">
        <is>
          <t xml:space="preserve">Congo, Republic of the</t>
        </is>
      </c>
      <c r="B51" s="2">
        <v>53.74</v>
      </c>
      <c r="C51" s="2" t="inlineStr">
        <is>
          <t xml:space="preserve">Africa</t>
        </is>
      </c>
      <c r="D51" s="2">
        <v>4000</v>
      </c>
    </row>
    <row r="52">
      <c r="A52" s="2" t="inlineStr">
        <is>
          <t xml:space="preserve">Cook Islands</t>
        </is>
      </c>
      <c r="B52" s="2">
        <v>71.88</v>
      </c>
      <c r="C52" s="2" t="inlineStr">
        <is>
          <t xml:space="preserve">Oceanía</t>
        </is>
      </c>
      <c r="D52" s="2">
        <v>9100</v>
      </c>
    </row>
    <row r="53">
      <c r="A53" s="2" t="inlineStr">
        <is>
          <t xml:space="preserve">Costa Rica</t>
        </is>
      </c>
      <c r="B53" s="2">
        <v>77.4</v>
      </c>
      <c r="C53" s="2" t="inlineStr">
        <is>
          <t xml:space="preserve">Norte América</t>
        </is>
      </c>
      <c r="D53" s="2">
        <v>11600</v>
      </c>
    </row>
    <row r="54">
      <c r="A54" s="2" t="inlineStr">
        <is>
          <t xml:space="preserve">Côte d'Ivoire</t>
        </is>
      </c>
      <c r="B54" s="2">
        <v>49.18</v>
      </c>
      <c r="C54" s="2" t="inlineStr">
        <is>
          <t xml:space="preserve">Africa</t>
        </is>
      </c>
      <c r="D54" s="2">
        <v>1700</v>
      </c>
    </row>
    <row r="55">
      <c r="A55" s="2" t="inlineStr">
        <is>
          <t xml:space="preserve">Croatia</t>
        </is>
      </c>
      <c r="B55" s="2">
        <v>75.13</v>
      </c>
      <c r="C55" s="2" t="inlineStr">
        <is>
          <t xml:space="preserve">Europa</t>
        </is>
      </c>
      <c r="D55" s="2">
        <v>16100.000000000002</v>
      </c>
    </row>
    <row r="56">
      <c r="A56" s="2" t="inlineStr">
        <is>
          <t xml:space="preserve">Cuba</t>
        </is>
      </c>
      <c r="B56" s="2">
        <v>77.27</v>
      </c>
      <c r="C56" s="2" t="inlineStr">
        <is>
          <t xml:space="preserve">Norte América</t>
        </is>
      </c>
      <c r="D56" s="2">
        <v>9500</v>
      </c>
    </row>
    <row r="57">
      <c r="A57" s="2" t="inlineStr">
        <is>
          <t xml:space="preserve">Cyprus</t>
        </is>
      </c>
      <c r="B57" s="2">
        <v>78.15</v>
      </c>
      <c r="C57" s="2" t="inlineStr">
        <is>
          <t xml:space="preserve">Asia</t>
        </is>
      </c>
      <c r="D57" s="2">
        <v>28600</v>
      </c>
    </row>
    <row r="58">
      <c r="A58" s="2" t="inlineStr">
        <is>
          <t xml:space="preserve">Czech Republic</t>
        </is>
      </c>
      <c r="B58" s="2">
        <v>76.62</v>
      </c>
      <c r="C58" s="2" t="inlineStr">
        <is>
          <t xml:space="preserve">Europa</t>
        </is>
      </c>
      <c r="D58" s="2">
        <v>26100</v>
      </c>
    </row>
    <row r="59">
      <c r="A59" s="2" t="inlineStr">
        <is>
          <t xml:space="preserve">Denmark</t>
        </is>
      </c>
      <c r="B59" s="2">
        <v>78.13</v>
      </c>
      <c r="C59" s="2" t="inlineStr">
        <is>
          <t xml:space="preserve">Europa</t>
        </is>
      </c>
      <c r="D59" s="2">
        <v>37400</v>
      </c>
    </row>
    <row r="60">
      <c r="A60" s="2" t="inlineStr">
        <is>
          <t xml:space="preserve">Djibouti</t>
        </is>
      </c>
      <c r="B60" s="2">
        <v>43.31</v>
      </c>
      <c r="C60" s="2" t="inlineStr">
        <is>
          <t xml:space="preserve">Africa</t>
        </is>
      </c>
      <c r="D60" s="2">
        <v>3700</v>
      </c>
    </row>
    <row r="61">
      <c r="A61" s="2" t="inlineStr">
        <is>
          <t xml:space="preserve">Dominica</t>
        </is>
      </c>
      <c r="B61" s="2">
        <v>75.33</v>
      </c>
      <c r="C61" s="2" t="inlineStr">
        <is>
          <t xml:space="preserve">Norte América</t>
        </is>
      </c>
      <c r="D61" s="2">
        <v>9900</v>
      </c>
    </row>
    <row r="62">
      <c r="A62" s="2" t="inlineStr">
        <is>
          <t xml:space="preserve">Dominican Republic</t>
        </is>
      </c>
      <c r="B62" s="2">
        <v>73.39</v>
      </c>
      <c r="C62" s="2" t="inlineStr">
        <is>
          <t xml:space="preserve">Norte América</t>
        </is>
      </c>
      <c r="D62" s="2">
        <v>8100</v>
      </c>
    </row>
    <row r="63">
      <c r="A63" s="2" t="inlineStr">
        <is>
          <t xml:space="preserve">Ecuador</t>
        </is>
      </c>
      <c r="B63" s="2">
        <v>76.81</v>
      </c>
      <c r="C63" s="2" t="inlineStr">
        <is>
          <t xml:space="preserve">Sur América</t>
        </is>
      </c>
      <c r="D63" s="2">
        <v>7500</v>
      </c>
    </row>
    <row r="64">
      <c r="A64" s="2" t="inlineStr">
        <is>
          <t xml:space="preserve">Egypt</t>
        </is>
      </c>
      <c r="B64" s="2">
        <v>71.85</v>
      </c>
      <c r="C64" s="2" t="inlineStr">
        <is>
          <t xml:space="preserve">Africa</t>
        </is>
      </c>
      <c r="D64" s="2">
        <v>5400</v>
      </c>
    </row>
    <row r="65">
      <c r="A65" s="2" t="inlineStr">
        <is>
          <t xml:space="preserve">El Salvador</t>
        </is>
      </c>
      <c r="B65" s="2">
        <v>72.06</v>
      </c>
      <c r="C65" s="2" t="inlineStr">
        <is>
          <t xml:space="preserve">Norte América</t>
        </is>
      </c>
      <c r="D65" s="2">
        <v>6200</v>
      </c>
    </row>
    <row r="66">
      <c r="A66" s="2" t="inlineStr">
        <is>
          <t xml:space="preserve">Equatorial Guinea</t>
        </is>
      </c>
      <c r="B66" s="2">
        <v>61.23</v>
      </c>
      <c r="C66" s="2" t="inlineStr">
        <is>
          <t xml:space="preserve">Africa</t>
        </is>
      </c>
      <c r="D66" s="2">
        <v>31400</v>
      </c>
    </row>
    <row r="67">
      <c r="A67" s="2" t="inlineStr">
        <is>
          <t xml:space="preserve">Eritrea</t>
        </is>
      </c>
      <c r="B67" s="2">
        <v>60.05</v>
      </c>
      <c r="C67" s="2" t="inlineStr">
        <is>
          <t xml:space="preserve">Africa</t>
        </is>
      </c>
      <c r="D67" s="2">
        <v>700</v>
      </c>
    </row>
    <row r="68">
      <c r="A68" s="2" t="inlineStr">
        <is>
          <t xml:space="preserve">Estonia</t>
        </is>
      </c>
      <c r="B68" s="2">
        <v>72.56</v>
      </c>
      <c r="C68" s="2" t="inlineStr">
        <is>
          <t xml:space="preserve">Europa</t>
        </is>
      </c>
      <c r="D68" s="2">
        <v>21200</v>
      </c>
    </row>
    <row r="69">
      <c r="A69" s="2" t="inlineStr">
        <is>
          <t xml:space="preserve">Ethiopia</t>
        </is>
      </c>
      <c r="B69" s="2">
        <v>49.43</v>
      </c>
      <c r="C69" s="2" t="inlineStr">
        <is>
          <t xml:space="preserve">Africa</t>
        </is>
      </c>
      <c r="D69" s="2">
        <v>800</v>
      </c>
    </row>
    <row r="70">
      <c r="A70" s="2" t="inlineStr">
        <is>
          <t xml:space="preserve">Faroe Islands</t>
        </is>
      </c>
      <c r="B70" s="2">
        <v>79.29</v>
      </c>
      <c r="C70" s="2" t="inlineStr">
        <is>
          <t xml:space="preserve">Europa</t>
        </is>
      </c>
      <c r="D70" s="2">
        <v>31000</v>
      </c>
    </row>
    <row r="71">
      <c r="A71" s="2" t="inlineStr">
        <is>
          <t xml:space="preserve">Fiji</t>
        </is>
      </c>
      <c r="B71" s="2">
        <v>70.44</v>
      </c>
      <c r="C71" s="2" t="inlineStr">
        <is>
          <t xml:space="preserve">Oceanía</t>
        </is>
      </c>
      <c r="D71" s="2">
        <v>3900</v>
      </c>
    </row>
    <row r="72">
      <c r="A72" s="2" t="inlineStr">
        <is>
          <t xml:space="preserve">Finland</t>
        </is>
      </c>
      <c r="B72" s="2">
        <v>78.82</v>
      </c>
      <c r="C72" s="2" t="inlineStr">
        <is>
          <t xml:space="preserve">Europa</t>
        </is>
      </c>
      <c r="D72" s="2">
        <v>37200</v>
      </c>
    </row>
    <row r="73">
      <c r="A73" s="2" t="inlineStr">
        <is>
          <t xml:space="preserve">France</t>
        </is>
      </c>
      <c r="B73" s="2">
        <v>80.87</v>
      </c>
      <c r="C73" s="2" t="inlineStr">
        <is>
          <t xml:space="preserve">Europa</t>
        </is>
      </c>
      <c r="D73" s="2">
        <v>32700.000000000004</v>
      </c>
    </row>
    <row r="74">
      <c r="A74" s="2" t="inlineStr">
        <is>
          <t xml:space="preserve">French Polynesia</t>
        </is>
      </c>
      <c r="B74" s="2">
        <v>76.51</v>
      </c>
      <c r="C74" s="2" t="inlineStr">
        <is>
          <t xml:space="preserve">Oceanía</t>
        </is>
      </c>
      <c r="D74" s="2">
        <v>18000</v>
      </c>
    </row>
    <row r="75">
      <c r="A75" s="2" t="inlineStr">
        <is>
          <t xml:space="preserve">Gabon</t>
        </is>
      </c>
      <c r="B75" s="2">
        <v>53.52</v>
      </c>
      <c r="C75" s="2" t="inlineStr">
        <is>
          <t xml:space="preserve">Africa</t>
        </is>
      </c>
      <c r="D75" s="2">
        <v>14400</v>
      </c>
    </row>
    <row r="76">
      <c r="A76" s="2" t="inlineStr">
        <is>
          <t xml:space="preserve">Gambia</t>
        </is>
      </c>
      <c r="B76" s="2">
        <v>54.95</v>
      </c>
      <c r="C76" s="2" t="inlineStr">
        <is>
          <t xml:space="preserve">Africa</t>
        </is>
      </c>
      <c r="D76" s="2">
        <v>1300</v>
      </c>
    </row>
    <row r="77">
      <c r="A77" s="2" t="inlineStr">
        <is>
          <t xml:space="preserve">Palestinian territories</t>
        </is>
      </c>
      <c r="B77" s="2">
        <v>72.34</v>
      </c>
      <c r="C77" s="2" t="inlineStr">
        <is>
          <t xml:space="preserve">Asia</t>
        </is>
      </c>
      <c r="D77" s="2">
        <v>2900</v>
      </c>
    </row>
    <row r="78">
      <c r="A78" s="2" t="inlineStr">
        <is>
          <t xml:space="preserve">Georgia</t>
        </is>
      </c>
      <c r="B78" s="2">
        <v>76.51</v>
      </c>
      <c r="C78" s="2" t="inlineStr">
        <is>
          <t xml:space="preserve">Asia</t>
        </is>
      </c>
      <c r="D78" s="2">
        <v>4700</v>
      </c>
    </row>
    <row r="79">
      <c r="A79" s="2" t="inlineStr">
        <is>
          <t xml:space="preserve">Germany</t>
        </is>
      </c>
      <c r="B79" s="2">
        <v>79.1</v>
      </c>
      <c r="C79" s="2" t="inlineStr">
        <is>
          <t xml:space="preserve">Europa</t>
        </is>
      </c>
      <c r="D79" s="2">
        <v>34800</v>
      </c>
    </row>
    <row r="80">
      <c r="A80" s="2" t="inlineStr">
        <is>
          <t xml:space="preserve">Ghana</t>
        </is>
      </c>
      <c r="B80" s="2">
        <v>59.49</v>
      </c>
      <c r="C80" s="2" t="inlineStr">
        <is>
          <t xml:space="preserve">Africa</t>
        </is>
      </c>
      <c r="D80" s="2">
        <v>1500</v>
      </c>
    </row>
    <row r="81">
      <c r="A81" s="2" t="inlineStr">
        <is>
          <t xml:space="preserve">Gibraltar</t>
        </is>
      </c>
      <c r="B81" s="2">
        <v>80.06</v>
      </c>
      <c r="C81" s="2" t="inlineStr">
        <is>
          <t xml:space="preserve">Europa</t>
        </is>
      </c>
      <c r="D81" s="2">
        <v>38200</v>
      </c>
    </row>
    <row r="82">
      <c r="A82" s="2" t="inlineStr">
        <is>
          <t xml:space="preserve">Greece</t>
        </is>
      </c>
      <c r="B82" s="2">
        <v>79.52</v>
      </c>
      <c r="C82" s="2" t="inlineStr">
        <is>
          <t xml:space="preserve">Europa</t>
        </is>
      </c>
      <c r="D82" s="2">
        <v>32000</v>
      </c>
    </row>
    <row r="83">
      <c r="A83" s="2" t="inlineStr">
        <is>
          <t xml:space="preserve">Greenland</t>
        </is>
      </c>
      <c r="B83" s="2">
        <v>70.53</v>
      </c>
      <c r="C83" s="2" t="inlineStr">
        <is>
          <t xml:space="preserve">Norte América</t>
        </is>
      </c>
      <c r="D83" s="2">
        <v>20000</v>
      </c>
    </row>
    <row r="84">
      <c r="A84" s="2" t="inlineStr">
        <is>
          <t xml:space="preserve">Grenada</t>
        </is>
      </c>
      <c r="B84" s="2">
        <v>65.6</v>
      </c>
      <c r="C84" s="2" t="inlineStr">
        <is>
          <t xml:space="preserve">Norte América</t>
        </is>
      </c>
      <c r="D84" s="2">
        <v>13400</v>
      </c>
    </row>
    <row r="85">
      <c r="A85" s="2" t="inlineStr">
        <is>
          <t xml:space="preserve">Guam</t>
        </is>
      </c>
      <c r="B85" s="2">
        <v>78.93</v>
      </c>
      <c r="C85" s="2" t="inlineStr">
        <is>
          <t xml:space="preserve">Oceanía</t>
        </is>
      </c>
      <c r="D85" s="2">
        <v>15000</v>
      </c>
    </row>
    <row r="86">
      <c r="A86" s="2" t="inlineStr">
        <is>
          <t xml:space="preserve">Guatemala</t>
        </is>
      </c>
      <c r="B86" s="2">
        <v>69.99</v>
      </c>
      <c r="C86" s="2" t="inlineStr">
        <is>
          <t xml:space="preserve">Norte América</t>
        </is>
      </c>
      <c r="D86" s="2">
        <v>5200</v>
      </c>
    </row>
    <row r="87">
      <c r="A87" s="2" t="inlineStr">
        <is>
          <t xml:space="preserve">Guernsey</t>
        </is>
      </c>
      <c r="B87" s="2">
        <v>80.65</v>
      </c>
      <c r="C87" s="2" t="inlineStr">
        <is>
          <t xml:space="preserve">Europa</t>
        </is>
      </c>
      <c r="D87" s="2">
        <v>44600</v>
      </c>
    </row>
    <row r="88">
      <c r="A88" s="2" t="inlineStr">
        <is>
          <t xml:space="preserve">Guinea</t>
        </is>
      </c>
      <c r="B88" s="2">
        <v>49.8</v>
      </c>
      <c r="C88" s="2" t="inlineStr">
        <is>
          <t xml:space="preserve">Africa</t>
        </is>
      </c>
      <c r="D88" s="2">
        <v>1100</v>
      </c>
    </row>
    <row r="89">
      <c r="A89" s="2" t="inlineStr">
        <is>
          <t xml:space="preserve">Guinea-Bissau</t>
        </is>
      </c>
      <c r="B89" s="2">
        <v>47.52</v>
      </c>
      <c r="C89" s="2" t="inlineStr">
        <is>
          <t xml:space="preserve">Africa</t>
        </is>
      </c>
      <c r="D89" s="2">
        <v>600</v>
      </c>
    </row>
    <row r="90">
      <c r="A90" s="2" t="inlineStr">
        <is>
          <t xml:space="preserve">Guyana</t>
        </is>
      </c>
      <c r="B90" s="2">
        <v>66.43</v>
      </c>
      <c r="C90" s="2" t="inlineStr">
        <is>
          <t xml:space="preserve">Sur América</t>
        </is>
      </c>
      <c r="D90" s="2">
        <v>3900</v>
      </c>
    </row>
    <row r="91">
      <c r="A91" s="2" t="inlineStr">
        <is>
          <t xml:space="preserve">Haiti</t>
        </is>
      </c>
      <c r="B91" s="2">
        <v>57.56</v>
      </c>
      <c r="C91" s="2" t="inlineStr">
        <is>
          <t xml:space="preserve">Norte América</t>
        </is>
      </c>
      <c r="D91" s="2">
        <v>1300</v>
      </c>
    </row>
    <row r="92">
      <c r="A92" s="2" t="inlineStr">
        <is>
          <t xml:space="preserve">Honduras</t>
        </is>
      </c>
      <c r="B92" s="2">
        <v>69.37</v>
      </c>
      <c r="C92" s="2" t="inlineStr">
        <is>
          <t xml:space="preserve">Norte América</t>
        </is>
      </c>
      <c r="D92" s="2">
        <v>4400</v>
      </c>
    </row>
    <row r="93">
      <c r="A93" s="2" t="inlineStr">
        <is>
          <t xml:space="preserve">Hong Kong</t>
        </is>
      </c>
      <c r="B93" s="2">
        <v>81.77</v>
      </c>
      <c r="C93" s="2" t="inlineStr">
        <is>
          <t xml:space="preserve">Asia</t>
        </is>
      </c>
      <c r="D93" s="2">
        <v>43800</v>
      </c>
    </row>
    <row r="94">
      <c r="A94" s="2" t="inlineStr">
        <is>
          <t xml:space="preserve">Hungary</t>
        </is>
      </c>
      <c r="B94" s="2">
        <v>73.18</v>
      </c>
      <c r="C94" s="2" t="inlineStr">
        <is>
          <t xml:space="preserve">Europa</t>
        </is>
      </c>
      <c r="D94" s="2">
        <v>19800</v>
      </c>
    </row>
    <row r="95">
      <c r="A95" s="2" t="inlineStr">
        <is>
          <t xml:space="preserve">Iceland</t>
        </is>
      </c>
      <c r="B95" s="2">
        <v>80.55</v>
      </c>
      <c r="C95" s="2" t="inlineStr">
        <is>
          <t xml:space="preserve">Europa</t>
        </is>
      </c>
      <c r="D95" s="2">
        <v>39900</v>
      </c>
    </row>
    <row r="96">
      <c r="A96" s="2" t="inlineStr">
        <is>
          <t xml:space="preserve">India</t>
        </is>
      </c>
      <c r="B96" s="2">
        <v>69.25</v>
      </c>
      <c r="C96" s="2" t="inlineStr">
        <is>
          <t xml:space="preserve">Asia</t>
        </is>
      </c>
      <c r="D96" s="2">
        <v>2800</v>
      </c>
    </row>
    <row r="97">
      <c r="A97" s="2" t="inlineStr">
        <is>
          <t xml:space="preserve">Indonesia</t>
        </is>
      </c>
      <c r="B97" s="2">
        <v>70.46</v>
      </c>
      <c r="C97" s="2" t="inlineStr">
        <is>
          <t xml:space="preserve">Asia</t>
        </is>
      </c>
      <c r="D97" s="2">
        <v>3900</v>
      </c>
    </row>
    <row r="98">
      <c r="A98" s="2" t="inlineStr">
        <is>
          <t xml:space="preserve">Iran</t>
        </is>
      </c>
      <c r="B98" s="2">
        <v>70.86</v>
      </c>
      <c r="C98" s="2" t="inlineStr">
        <is>
          <t xml:space="preserve">Asia</t>
        </is>
      </c>
      <c r="D98" s="2">
        <v>12800</v>
      </c>
    </row>
    <row r="99">
      <c r="A99" s="2" t="inlineStr">
        <is>
          <t xml:space="preserve">Iraq</t>
        </is>
      </c>
      <c r="B99" s="2">
        <v>69.62</v>
      </c>
      <c r="C99" s="2" t="inlineStr">
        <is>
          <t xml:space="preserve">Asia</t>
        </is>
      </c>
      <c r="D99" s="2">
        <v>4000</v>
      </c>
    </row>
    <row r="100">
      <c r="A100" s="2" t="inlineStr">
        <is>
          <t xml:space="preserve">Ireland</t>
        </is>
      </c>
      <c r="B100" s="2">
        <v>78.07</v>
      </c>
      <c r="C100" s="2" t="inlineStr">
        <is>
          <t xml:space="preserve">Europa</t>
        </is>
      </c>
      <c r="D100" s="2">
        <v>46200</v>
      </c>
    </row>
    <row r="101">
      <c r="A101" s="2" t="inlineStr">
        <is>
          <t xml:space="preserve">Isle of Man</t>
        </is>
      </c>
      <c r="B101" s="2">
        <v>78.8</v>
      </c>
      <c r="C101" s="2" t="inlineStr">
        <is>
          <t xml:space="preserve">Europa</t>
        </is>
      </c>
      <c r="D101" s="2">
        <v>35000</v>
      </c>
    </row>
    <row r="102">
      <c r="A102" s="2" t="inlineStr">
        <is>
          <t xml:space="preserve">Israel</t>
        </is>
      </c>
      <c r="B102" s="2">
        <v>80.61</v>
      </c>
      <c r="C102" s="2" t="inlineStr">
        <is>
          <t xml:space="preserve">Asia</t>
        </is>
      </c>
      <c r="D102" s="2">
        <v>28200</v>
      </c>
    </row>
    <row r="103">
      <c r="A103" s="2" t="inlineStr">
        <is>
          <t xml:space="preserve">Italy</t>
        </is>
      </c>
      <c r="B103" s="2">
        <v>80.07</v>
      </c>
      <c r="C103" s="2" t="inlineStr">
        <is>
          <t xml:space="preserve">Europa</t>
        </is>
      </c>
      <c r="D103" s="2">
        <v>31000</v>
      </c>
    </row>
    <row r="104">
      <c r="A104" s="2" t="inlineStr">
        <is>
          <t xml:space="preserve">Jamaica</t>
        </is>
      </c>
      <c r="B104" s="2">
        <v>73.59</v>
      </c>
      <c r="C104" s="2" t="inlineStr">
        <is>
          <t xml:space="preserve">Norte América</t>
        </is>
      </c>
      <c r="D104" s="2">
        <v>7400</v>
      </c>
    </row>
    <row r="105">
      <c r="A105" s="2" t="inlineStr">
        <is>
          <t xml:space="preserve">Japan</t>
        </is>
      </c>
      <c r="B105" s="2">
        <v>82.07</v>
      </c>
      <c r="C105" s="2" t="inlineStr">
        <is>
          <t xml:space="preserve">Asia</t>
        </is>
      </c>
      <c r="D105" s="2">
        <v>34200</v>
      </c>
    </row>
    <row r="106">
      <c r="A106" s="2" t="inlineStr">
        <is>
          <t xml:space="preserve">Jersey</t>
        </is>
      </c>
      <c r="B106" s="2">
        <v>79.65</v>
      </c>
      <c r="C106" s="2" t="inlineStr">
        <is>
          <t xml:space="preserve">Europa</t>
        </is>
      </c>
      <c r="D106" s="2">
        <v>57000</v>
      </c>
    </row>
    <row r="107">
      <c r="A107" s="2" t="inlineStr">
        <is>
          <t xml:space="preserve">Jordan</t>
        </is>
      </c>
      <c r="B107" s="2">
        <v>78.71</v>
      </c>
      <c r="C107" s="2" t="inlineStr">
        <is>
          <t xml:space="preserve">Asia</t>
        </is>
      </c>
      <c r="D107" s="2">
        <v>5000</v>
      </c>
    </row>
    <row r="108">
      <c r="A108" s="2" t="inlineStr">
        <is>
          <t xml:space="preserve">Kazakhstan</t>
        </is>
      </c>
      <c r="B108" s="2">
        <v>67.55</v>
      </c>
      <c r="C108" s="2" t="inlineStr">
        <is>
          <t xml:space="preserve">Asia</t>
        </is>
      </c>
      <c r="D108" s="2">
        <v>11500</v>
      </c>
    </row>
    <row r="109">
      <c r="A109" s="2" t="inlineStr">
        <is>
          <t xml:space="preserve">Kenya</t>
        </is>
      </c>
      <c r="B109" s="2">
        <v>56.64</v>
      </c>
      <c r="C109" s="2" t="inlineStr">
        <is>
          <t xml:space="preserve">Africa</t>
        </is>
      </c>
      <c r="D109" s="2">
        <v>1600</v>
      </c>
    </row>
    <row r="110">
      <c r="A110" s="2" t="inlineStr">
        <is>
          <t xml:space="preserve">Kiribati</t>
        </is>
      </c>
      <c r="B110" s="2">
        <v>62.85</v>
      </c>
      <c r="C110" s="2" t="inlineStr">
        <is>
          <t xml:space="preserve">Oceanía</t>
        </is>
      </c>
      <c r="D110" s="2">
        <v>3200</v>
      </c>
    </row>
    <row r="111">
      <c r="A111" s="2" t="inlineStr">
        <is>
          <t xml:space="preserve">Korea, North</t>
        </is>
      </c>
      <c r="B111" s="2">
        <v>72.2</v>
      </c>
      <c r="C111" s="2" t="inlineStr">
        <is>
          <t xml:space="preserve">Asia</t>
        </is>
      </c>
      <c r="D111" s="2">
        <v>1700</v>
      </c>
    </row>
    <row r="112">
      <c r="A112" s="2" t="inlineStr">
        <is>
          <t xml:space="preserve">Korea, South</t>
        </is>
      </c>
      <c r="B112" s="2">
        <v>77.42</v>
      </c>
      <c r="C112" s="2" t="inlineStr">
        <is>
          <t xml:space="preserve">Asia</t>
        </is>
      </c>
      <c r="D112" s="2">
        <v>26000</v>
      </c>
    </row>
    <row r="113">
      <c r="A113" s="2" t="inlineStr">
        <is>
          <t xml:space="preserve">Kosovo</t>
        </is>
      </c>
      <c r="B113" s="2">
        <v>64.77</v>
      </c>
      <c r="C113" s="2" t="inlineStr">
        <is>
          <t xml:space="preserve">Europa</t>
        </is>
      </c>
      <c r="D113" s="2">
        <v>2300</v>
      </c>
    </row>
    <row r="114">
      <c r="A114" s="2" t="inlineStr">
        <is>
          <t xml:space="preserve">Kuwait</t>
        </is>
      </c>
      <c r="B114" s="2">
        <v>77.53</v>
      </c>
      <c r="C114" s="2" t="inlineStr">
        <is>
          <t xml:space="preserve">Asia</t>
        </is>
      </c>
      <c r="D114" s="2">
        <v>57400</v>
      </c>
    </row>
    <row r="115">
      <c r="A115" s="2" t="inlineStr">
        <is>
          <t xml:space="preserve">Kyrgyzstan</t>
        </is>
      </c>
      <c r="B115" s="2">
        <v>69.12</v>
      </c>
      <c r="C115" s="2" t="inlineStr">
        <is>
          <t xml:space="preserve">Asia</t>
        </is>
      </c>
      <c r="D115" s="2">
        <v>2100</v>
      </c>
    </row>
    <row r="116">
      <c r="A116" s="2" t="inlineStr">
        <is>
          <t xml:space="preserve">Laos</t>
        </is>
      </c>
      <c r="B116" s="2">
        <v>56.29</v>
      </c>
      <c r="C116" s="2" t="inlineStr">
        <is>
          <t xml:space="preserve">Asia</t>
        </is>
      </c>
      <c r="D116" s="2">
        <v>2100</v>
      </c>
    </row>
    <row r="117">
      <c r="A117" s="2" t="inlineStr">
        <is>
          <t xml:space="preserve">Latvia</t>
        </is>
      </c>
      <c r="B117" s="2">
        <v>71.88</v>
      </c>
      <c r="C117" s="2" t="inlineStr">
        <is>
          <t xml:space="preserve">Europa</t>
        </is>
      </c>
      <c r="D117" s="2">
        <v>17800</v>
      </c>
    </row>
    <row r="118">
      <c r="A118" s="2" t="inlineStr">
        <is>
          <t xml:space="preserve">Lebanon</t>
        </is>
      </c>
      <c r="B118" s="2">
        <v>73.41</v>
      </c>
      <c r="C118" s="2" t="inlineStr">
        <is>
          <t xml:space="preserve">Asia</t>
        </is>
      </c>
      <c r="D118" s="2">
        <v>11100</v>
      </c>
    </row>
    <row r="119">
      <c r="A119" s="2" t="inlineStr">
        <is>
          <t xml:space="preserve">Lesotho</t>
        </is>
      </c>
      <c r="B119" s="2">
        <v>40.17</v>
      </c>
      <c r="C119" s="2" t="inlineStr">
        <is>
          <t xml:space="preserve">Africa</t>
        </is>
      </c>
      <c r="D119" s="2">
        <v>1600</v>
      </c>
    </row>
    <row r="120">
      <c r="A120" s="2" t="inlineStr">
        <is>
          <t xml:space="preserve">Liberia</t>
        </is>
      </c>
      <c r="B120" s="2">
        <v>41.13</v>
      </c>
      <c r="C120" s="2" t="inlineStr">
        <is>
          <t xml:space="preserve">Africa</t>
        </is>
      </c>
      <c r="D120" s="2">
        <v>500</v>
      </c>
    </row>
    <row r="121">
      <c r="A121" s="2" t="inlineStr">
        <is>
          <t xml:space="preserve">Libya</t>
        </is>
      </c>
      <c r="B121" s="2">
        <v>77.07</v>
      </c>
      <c r="C121" s="2" t="inlineStr">
        <is>
          <t xml:space="preserve">Africa</t>
        </is>
      </c>
      <c r="D121" s="2">
        <v>14400</v>
      </c>
    </row>
    <row r="122">
      <c r="A122" s="2" t="inlineStr">
        <is>
          <t xml:space="preserve">Liechtenstein</t>
        </is>
      </c>
      <c r="B122" s="2">
        <v>79.95</v>
      </c>
      <c r="C122" s="2" t="inlineStr">
        <is>
          <t xml:space="preserve">Europa</t>
        </is>
      </c>
      <c r="D122" s="2">
        <v>118000</v>
      </c>
    </row>
    <row r="123">
      <c r="A123" s="2" t="inlineStr">
        <is>
          <t xml:space="preserve">Lithuania</t>
        </is>
      </c>
      <c r="B123" s="2">
        <v>74.67</v>
      </c>
      <c r="C123" s="2" t="inlineStr">
        <is>
          <t xml:space="preserve">Europa</t>
        </is>
      </c>
      <c r="D123" s="2">
        <v>17700</v>
      </c>
    </row>
    <row r="124">
      <c r="A124" s="2" t="inlineStr">
        <is>
          <t xml:space="preserve">Luxembourg</t>
        </is>
      </c>
      <c r="B124" s="2">
        <v>79.18</v>
      </c>
      <c r="C124" s="2" t="inlineStr">
        <is>
          <t xml:space="preserve">Europa</t>
        </is>
      </c>
      <c r="D124" s="2">
        <v>81100</v>
      </c>
    </row>
    <row r="125">
      <c r="A125" s="2" t="inlineStr">
        <is>
          <t xml:space="preserve">Macau</t>
        </is>
      </c>
      <c r="B125" s="2">
        <v>82.35</v>
      </c>
      <c r="C125" s="2" t="inlineStr">
        <is>
          <t xml:space="preserve">Asia</t>
        </is>
      </c>
      <c r="D125" s="2">
        <v>30000</v>
      </c>
    </row>
    <row r="126">
      <c r="A126" s="2" t="inlineStr">
        <is>
          <t xml:space="preserve">Macedonia</t>
        </is>
      </c>
      <c r="B126" s="2">
        <v>74.45</v>
      </c>
      <c r="C126" s="2" t="inlineStr">
        <is>
          <t xml:space="preserve">Europa</t>
        </is>
      </c>
      <c r="D126" s="2">
        <v>9000</v>
      </c>
    </row>
    <row r="127">
      <c r="A127" s="2" t="inlineStr">
        <is>
          <t xml:space="preserve">Madagascar</t>
        </is>
      </c>
      <c r="B127" s="2">
        <v>62.52</v>
      </c>
      <c r="C127" s="2" t="inlineStr">
        <is>
          <t xml:space="preserve">Africa</t>
        </is>
      </c>
      <c r="D127" s="2">
        <v>1000</v>
      </c>
    </row>
    <row r="128">
      <c r="A128" s="2" t="inlineStr">
        <is>
          <t xml:space="preserve">Malawi</t>
        </is>
      </c>
      <c r="B128" s="2">
        <v>43.45</v>
      </c>
      <c r="C128" s="2" t="inlineStr">
        <is>
          <t xml:space="preserve">Africa</t>
        </is>
      </c>
      <c r="D128" s="2">
        <v>800</v>
      </c>
    </row>
    <row r="129">
      <c r="A129" s="2" t="inlineStr">
        <is>
          <t xml:space="preserve">Malaysia</t>
        </is>
      </c>
      <c r="B129" s="2">
        <v>73.03</v>
      </c>
      <c r="C129" s="2" t="inlineStr">
        <is>
          <t xml:space="preserve">Asia</t>
        </is>
      </c>
      <c r="D129" s="2">
        <v>15300</v>
      </c>
    </row>
    <row r="130">
      <c r="A130" s="2" t="inlineStr">
        <is>
          <t xml:space="preserve">Maldives</t>
        </is>
      </c>
      <c r="B130" s="2">
        <v>65.12</v>
      </c>
      <c r="C130" s="2" t="inlineStr">
        <is>
          <t xml:space="preserve">Asia</t>
        </is>
      </c>
      <c r="D130" s="2">
        <v>5000</v>
      </c>
    </row>
    <row r="131">
      <c r="A131" s="2" t="inlineStr">
        <is>
          <t xml:space="preserve">Mali</t>
        </is>
      </c>
      <c r="B131" s="2">
        <v>49.94</v>
      </c>
      <c r="C131" s="2" t="inlineStr">
        <is>
          <t xml:space="preserve">Africa</t>
        </is>
      </c>
      <c r="D131" s="2">
        <v>1200</v>
      </c>
    </row>
    <row r="132">
      <c r="A132" s="2" t="inlineStr">
        <is>
          <t xml:space="preserve">Malta</t>
        </is>
      </c>
      <c r="B132" s="2">
        <v>79.3</v>
      </c>
      <c r="C132" s="2" t="inlineStr">
        <is>
          <t xml:space="preserve">Europa</t>
        </is>
      </c>
      <c r="D132" s="2">
        <v>24200</v>
      </c>
    </row>
    <row r="133">
      <c r="A133" s="2" t="inlineStr">
        <is>
          <t xml:space="preserve">Marshall Islands</t>
        </is>
      </c>
      <c r="B133" s="2">
        <v>70.9</v>
      </c>
      <c r="C133" s="2" t="inlineStr">
        <is>
          <t xml:space="preserve">Oceanía</t>
        </is>
      </c>
      <c r="D133" s="2">
        <v>2500</v>
      </c>
    </row>
    <row r="134">
      <c r="A134" s="2" t="inlineStr">
        <is>
          <t xml:space="preserve">Mauritania</t>
        </is>
      </c>
      <c r="B134" s="2">
        <v>53.91</v>
      </c>
      <c r="C134" s="2" t="inlineStr">
        <is>
          <t xml:space="preserve">Africa</t>
        </is>
      </c>
      <c r="D134" s="2">
        <v>2100</v>
      </c>
    </row>
    <row r="135">
      <c r="A135" s="2" t="inlineStr">
        <is>
          <t xml:space="preserve">Mauritius</t>
        </is>
      </c>
      <c r="B135" s="2">
        <v>73.75</v>
      </c>
      <c r="C135" s="2" t="inlineStr">
        <is>
          <t xml:space="preserve">Africa</t>
        </is>
      </c>
      <c r="D135" s="2">
        <v>12100</v>
      </c>
    </row>
    <row r="136">
      <c r="A136" s="2" t="inlineStr">
        <is>
          <t xml:space="preserve">Mayotte</t>
        </is>
      </c>
      <c r="B136" s="2">
        <v>62.54</v>
      </c>
      <c r="C136" s="2" t="inlineStr">
        <is>
          <t xml:space="preserve">Africa</t>
        </is>
      </c>
      <c r="D136" s="2">
        <v>4900</v>
      </c>
    </row>
    <row r="137">
      <c r="A137" s="2" t="inlineStr">
        <is>
          <t xml:space="preserve">Mexico</t>
        </is>
      </c>
      <c r="B137" s="2">
        <v>75.84</v>
      </c>
      <c r="C137" s="2" t="inlineStr">
        <is>
          <t xml:space="preserve">Norte América</t>
        </is>
      </c>
      <c r="D137" s="2">
        <v>14200</v>
      </c>
    </row>
    <row r="138">
      <c r="A138" s="2" t="inlineStr">
        <is>
          <t xml:space="preserve">Micronesia</t>
        </is>
      </c>
      <c r="B138" s="2">
        <v>70.65</v>
      </c>
      <c r="C138" s="2" t="inlineStr">
        <is>
          <t xml:space="preserve">Oceanía</t>
        </is>
      </c>
      <c r="D138" s="2">
        <v>2200</v>
      </c>
    </row>
    <row r="139">
      <c r="A139" s="2" t="inlineStr">
        <is>
          <t xml:space="preserve">Moldova</t>
        </is>
      </c>
      <c r="B139" s="2">
        <v>70.5</v>
      </c>
      <c r="C139" s="2" t="inlineStr">
        <is>
          <t xml:space="preserve">Europa</t>
        </is>
      </c>
      <c r="D139" s="2">
        <v>2500</v>
      </c>
    </row>
    <row r="140">
      <c r="A140" s="2" t="inlineStr">
        <is>
          <t xml:space="preserve">Monaco</t>
        </is>
      </c>
      <c r="B140" s="2">
        <v>79.96</v>
      </c>
      <c r="C140" s="2" t="inlineStr">
        <is>
          <t xml:space="preserve">Europa</t>
        </is>
      </c>
      <c r="D140" s="2">
        <v>30000</v>
      </c>
    </row>
    <row r="141">
      <c r="A141" s="2" t="inlineStr">
        <is>
          <t xml:space="preserve">Mongolia</t>
        </is>
      </c>
      <c r="B141" s="2">
        <v>67.32</v>
      </c>
      <c r="C141" s="2" t="inlineStr">
        <is>
          <t xml:space="preserve">Asia</t>
        </is>
      </c>
      <c r="D141" s="2">
        <v>3200</v>
      </c>
    </row>
    <row r="142">
      <c r="A142" s="2" t="inlineStr">
        <is>
          <t xml:space="preserve">Montenegro</t>
        </is>
      </c>
      <c r="B142" s="2">
        <v>74.53</v>
      </c>
      <c r="C142" s="2" t="inlineStr">
        <is>
          <t xml:space="preserve">Europa</t>
        </is>
      </c>
      <c r="D142" s="2">
        <v>9700</v>
      </c>
    </row>
    <row r="143">
      <c r="A143" s="2" t="inlineStr">
        <is>
          <t xml:space="preserve">Montserrat</t>
        </is>
      </c>
      <c r="B143" s="2">
        <v>79.15</v>
      </c>
      <c r="C143" s="2" t="inlineStr">
        <is>
          <t xml:space="preserve">Norte América</t>
        </is>
      </c>
      <c r="D143" s="2">
        <v>3400</v>
      </c>
    </row>
    <row r="144">
      <c r="A144" s="2" t="inlineStr">
        <is>
          <t xml:space="preserve">Morocco</t>
        </is>
      </c>
      <c r="B144" s="2">
        <v>71.52</v>
      </c>
      <c r="C144" s="2" t="inlineStr">
        <is>
          <t xml:space="preserve">Africa</t>
        </is>
      </c>
      <c r="D144" s="2">
        <v>4000</v>
      </c>
    </row>
    <row r="145">
      <c r="A145" s="2" t="inlineStr">
        <is>
          <t xml:space="preserve">Mozambique</t>
        </is>
      </c>
      <c r="B145" s="2">
        <v>41.04</v>
      </c>
      <c r="C145" s="2" t="inlineStr">
        <is>
          <t xml:space="preserve">Africa</t>
        </is>
      </c>
      <c r="D145" s="2">
        <v>900</v>
      </c>
    </row>
    <row r="146">
      <c r="A146" s="2" t="inlineStr">
        <is>
          <t xml:space="preserve">Namibia</t>
        </is>
      </c>
      <c r="B146" s="2">
        <v>49.89</v>
      </c>
      <c r="C146" s="2" t="inlineStr">
        <is>
          <t xml:space="preserve">Africa</t>
        </is>
      </c>
      <c r="D146" s="2">
        <v>5400</v>
      </c>
    </row>
    <row r="147">
      <c r="A147" s="2" t="inlineStr">
        <is>
          <t xml:space="preserve">Nauru</t>
        </is>
      </c>
      <c r="B147" s="2">
        <v>63.81</v>
      </c>
      <c r="C147" s="2" t="inlineStr">
        <is>
          <t xml:space="preserve">Oceanía</t>
        </is>
      </c>
      <c r="D147" s="2">
        <v>5000</v>
      </c>
    </row>
    <row r="148">
      <c r="A148" s="2" t="inlineStr">
        <is>
          <t xml:space="preserve">Nepal</t>
        </is>
      </c>
      <c r="B148" s="2">
        <v>60.94</v>
      </c>
      <c r="C148" s="2" t="inlineStr">
        <is>
          <t xml:space="preserve">Asia</t>
        </is>
      </c>
      <c r="D148" s="2">
        <v>1100</v>
      </c>
    </row>
    <row r="149">
      <c r="A149" s="2" t="inlineStr">
        <is>
          <t xml:space="preserve">Netherlands</t>
        </is>
      </c>
      <c r="B149" s="2">
        <v>79.25</v>
      </c>
      <c r="C149" s="2" t="inlineStr">
        <is>
          <t xml:space="preserve">Europa</t>
        </is>
      </c>
      <c r="D149" s="2">
        <v>40300</v>
      </c>
    </row>
    <row r="150">
      <c r="A150" s="2" t="inlineStr">
        <is>
          <t xml:space="preserve">Netherlands Antilles</t>
        </is>
      </c>
      <c r="B150" s="2">
        <v>76.45</v>
      </c>
      <c r="C150" s="2" t="inlineStr">
        <is>
          <t xml:space="preserve">Norte América</t>
        </is>
      </c>
      <c r="D150" s="2">
        <v>16000</v>
      </c>
    </row>
    <row r="151">
      <c r="A151" s="2" t="inlineStr">
        <is>
          <t xml:space="preserve">New Caledonia</t>
        </is>
      </c>
      <c r="B151" s="2">
        <v>74.75</v>
      </c>
      <c r="C151" s="2" t="inlineStr">
        <is>
          <t xml:space="preserve">Oceanía</t>
        </is>
      </c>
      <c r="D151" s="2">
        <v>15000</v>
      </c>
    </row>
    <row r="152">
      <c r="A152" s="2" t="inlineStr">
        <is>
          <t xml:space="preserve">New Zealand</t>
        </is>
      </c>
      <c r="B152" s="2">
        <v>80.24</v>
      </c>
      <c r="C152" s="2" t="inlineStr">
        <is>
          <t xml:space="preserve">Oceanía</t>
        </is>
      </c>
      <c r="D152" s="2">
        <v>27900</v>
      </c>
    </row>
    <row r="153">
      <c r="A153" s="2" t="inlineStr">
        <is>
          <t xml:space="preserve">Nicaragua</t>
        </is>
      </c>
      <c r="B153" s="2">
        <v>71.21</v>
      </c>
      <c r="C153" s="2" t="inlineStr">
        <is>
          <t xml:space="preserve">Norte América</t>
        </is>
      </c>
      <c r="D153" s="2">
        <v>2900</v>
      </c>
    </row>
    <row r="154">
      <c r="A154" s="2" t="inlineStr">
        <is>
          <t xml:space="preserve">Niger</t>
        </is>
      </c>
      <c r="B154" s="2">
        <v>44.28</v>
      </c>
      <c r="C154" s="2" t="inlineStr">
        <is>
          <t xml:space="preserve">Africa</t>
        </is>
      </c>
      <c r="D154" s="2">
        <v>700</v>
      </c>
    </row>
    <row r="155">
      <c r="A155" s="2" t="inlineStr">
        <is>
          <t xml:space="preserve">Nigeria</t>
        </is>
      </c>
      <c r="B155" s="2">
        <v>47.81</v>
      </c>
      <c r="C155" s="2" t="inlineStr">
        <is>
          <t xml:space="preserve">Africa</t>
        </is>
      </c>
      <c r="D155" s="2">
        <v>2300</v>
      </c>
    </row>
    <row r="156">
      <c r="A156" s="2" t="inlineStr">
        <is>
          <t xml:space="preserve">Niue</t>
        </is>
      </c>
      <c r="B156" s="2">
        <v>70.5</v>
      </c>
      <c r="C156" s="2" t="inlineStr">
        <is>
          <t xml:space="preserve">Oceanía</t>
        </is>
      </c>
      <c r="D156" s="2">
        <v>5800</v>
      </c>
    </row>
    <row r="157">
      <c r="A157" s="2" t="inlineStr">
        <is>
          <t xml:space="preserve">Northern Mariana Islands</t>
        </is>
      </c>
      <c r="B157" s="2">
        <v>76.5</v>
      </c>
      <c r="C157" s="2" t="inlineStr">
        <is>
          <t xml:space="preserve">Oceanía</t>
        </is>
      </c>
      <c r="D157" s="2">
        <v>12500</v>
      </c>
    </row>
    <row r="158">
      <c r="A158" s="2" t="inlineStr">
        <is>
          <t xml:space="preserve">Norway</t>
        </is>
      </c>
      <c r="B158" s="2">
        <v>79.81</v>
      </c>
      <c r="C158" s="2" t="inlineStr">
        <is>
          <t xml:space="preserve">Europa</t>
        </is>
      </c>
      <c r="D158" s="2">
        <v>55200</v>
      </c>
    </row>
    <row r="159">
      <c r="A159" s="2" t="inlineStr">
        <is>
          <t xml:space="preserve">Oman</t>
        </is>
      </c>
      <c r="B159" s="2">
        <v>73.91</v>
      </c>
      <c r="C159" s="2" t="inlineStr">
        <is>
          <t xml:space="preserve">Asia</t>
        </is>
      </c>
      <c r="D159" s="2">
        <v>20200</v>
      </c>
    </row>
    <row r="160">
      <c r="A160" s="2" t="inlineStr">
        <is>
          <t xml:space="preserve">Pakistan</t>
        </is>
      </c>
      <c r="B160" s="2">
        <v>64.13</v>
      </c>
      <c r="C160" s="2" t="inlineStr">
        <is>
          <t xml:space="preserve">Asia</t>
        </is>
      </c>
      <c r="D160" s="2">
        <v>2600</v>
      </c>
    </row>
    <row r="161">
      <c r="A161" s="2" t="inlineStr">
        <is>
          <t xml:space="preserve">Palau</t>
        </is>
      </c>
      <c r="B161" s="2">
        <v>71</v>
      </c>
      <c r="C161" s="2" t="inlineStr">
        <is>
          <t xml:space="preserve">Oceanía</t>
        </is>
      </c>
      <c r="D161" s="2">
        <v>8100</v>
      </c>
    </row>
    <row r="162">
      <c r="A162" s="2" t="inlineStr">
        <is>
          <t xml:space="preserve">Panama</t>
        </is>
      </c>
      <c r="B162" s="2">
        <v>75.17</v>
      </c>
      <c r="C162" s="2" t="inlineStr">
        <is>
          <t xml:space="preserve">Norte América</t>
        </is>
      </c>
      <c r="D162" s="2">
        <v>11600</v>
      </c>
    </row>
    <row r="163">
      <c r="A163" s="2" t="inlineStr">
        <is>
          <t xml:space="preserve">Papua New Guinea</t>
        </is>
      </c>
      <c r="B163" s="2">
        <v>66</v>
      </c>
      <c r="C163" s="2" t="inlineStr">
        <is>
          <t xml:space="preserve">Oceanía</t>
        </is>
      </c>
      <c r="D163" s="2">
        <v>2200</v>
      </c>
    </row>
    <row r="164">
      <c r="A164" s="2" t="inlineStr">
        <is>
          <t xml:space="preserve">Paraguay</t>
        </is>
      </c>
      <c r="B164" s="2">
        <v>75.56</v>
      </c>
      <c r="C164" s="2" t="inlineStr">
        <is>
          <t xml:space="preserve">Sur América</t>
        </is>
      </c>
      <c r="D164" s="2">
        <v>4200</v>
      </c>
    </row>
    <row r="165">
      <c r="A165" s="2" t="inlineStr">
        <is>
          <t xml:space="preserve">Peru</t>
        </is>
      </c>
      <c r="B165" s="2">
        <v>70.44</v>
      </c>
      <c r="C165" s="2" t="inlineStr">
        <is>
          <t xml:space="preserve">Sur América</t>
        </is>
      </c>
      <c r="D165" s="2">
        <v>8400</v>
      </c>
    </row>
    <row r="166">
      <c r="A166" s="2" t="inlineStr">
        <is>
          <t xml:space="preserve">Philippines</t>
        </is>
      </c>
      <c r="B166" s="2">
        <v>70.8</v>
      </c>
      <c r="C166" s="2" t="inlineStr">
        <is>
          <t xml:space="preserve">Asia</t>
        </is>
      </c>
      <c r="D166" s="2">
        <v>3300</v>
      </c>
    </row>
    <row r="167">
      <c r="A167" s="2" t="inlineStr">
        <is>
          <t xml:space="preserve">Poland</t>
        </is>
      </c>
      <c r="B167" s="2">
        <v>75.41</v>
      </c>
      <c r="C167" s="2" t="inlineStr">
        <is>
          <t xml:space="preserve">Europa</t>
        </is>
      </c>
      <c r="D167" s="2">
        <v>17300</v>
      </c>
    </row>
    <row r="168">
      <c r="A168" s="2" t="inlineStr">
        <is>
          <t xml:space="preserve">Portugal</t>
        </is>
      </c>
      <c r="B168" s="2">
        <v>78.04</v>
      </c>
      <c r="C168" s="2" t="inlineStr">
        <is>
          <t xml:space="preserve">Europa</t>
        </is>
      </c>
      <c r="D168" s="2">
        <v>22000</v>
      </c>
    </row>
    <row r="169">
      <c r="A169" s="2" t="inlineStr">
        <is>
          <t xml:space="preserve">Puerto Rico</t>
        </is>
      </c>
      <c r="B169" s="2">
        <v>78.58</v>
      </c>
      <c r="C169" s="2" t="inlineStr">
        <is>
          <t xml:space="preserve">Norte América</t>
        </is>
      </c>
      <c r="D169" s="2">
        <v>17800</v>
      </c>
    </row>
    <row r="170">
      <c r="A170" s="2" t="inlineStr">
        <is>
          <t xml:space="preserve">Qatar</t>
        </is>
      </c>
      <c r="B170" s="2">
        <v>74.38</v>
      </c>
      <c r="C170" s="2" t="inlineStr">
        <is>
          <t xml:space="preserve">Asia</t>
        </is>
      </c>
      <c r="D170" s="2">
        <v>103500</v>
      </c>
    </row>
    <row r="171">
      <c r="A171" s="2" t="inlineStr">
        <is>
          <t xml:space="preserve">Romania</t>
        </is>
      </c>
      <c r="B171" s="2">
        <v>72.18</v>
      </c>
      <c r="C171" s="2" t="inlineStr">
        <is>
          <t xml:space="preserve">Europa</t>
        </is>
      </c>
      <c r="D171" s="2">
        <v>12200</v>
      </c>
    </row>
    <row r="172">
      <c r="A172" s="2" t="inlineStr">
        <is>
          <t xml:space="preserve">Russia</t>
        </is>
      </c>
      <c r="B172" s="2">
        <v>65.94</v>
      </c>
      <c r="C172" s="2" t="inlineStr">
        <is>
          <t xml:space="preserve">Europa</t>
        </is>
      </c>
      <c r="D172" s="2">
        <v>15800</v>
      </c>
    </row>
    <row r="173">
      <c r="A173" s="2" t="inlineStr">
        <is>
          <t xml:space="preserve">Rwanda</t>
        </is>
      </c>
      <c r="B173" s="2">
        <v>49.76</v>
      </c>
      <c r="C173" s="2" t="inlineStr">
        <is>
          <t xml:space="preserve">Africa</t>
        </is>
      </c>
      <c r="D173" s="2">
        <v>900</v>
      </c>
    </row>
    <row r="174">
      <c r="A174" s="2" t="inlineStr">
        <is>
          <t xml:space="preserve">Saint Helena</t>
        </is>
      </c>
      <c r="B174" s="2">
        <v>78.27</v>
      </c>
      <c r="C174" s="2" t="inlineStr">
        <is>
          <t xml:space="preserve">Africa</t>
        </is>
      </c>
      <c r="D174" s="2">
        <v>2500</v>
      </c>
    </row>
    <row r="175">
      <c r="A175" s="2" t="inlineStr">
        <is>
          <t xml:space="preserve">Saint Kitts and Nevis</t>
        </is>
      </c>
      <c r="B175" s="2">
        <v>72.93</v>
      </c>
      <c r="C175" s="2" t="inlineStr">
        <is>
          <t xml:space="preserve">Norte América</t>
        </is>
      </c>
      <c r="D175" s="2">
        <v>19700</v>
      </c>
    </row>
    <row r="176">
      <c r="A176" s="2" t="inlineStr">
        <is>
          <t xml:space="preserve">Saint Lucia</t>
        </is>
      </c>
      <c r="B176" s="2">
        <v>74.32</v>
      </c>
      <c r="C176" s="2" t="inlineStr">
        <is>
          <t xml:space="preserve">Norte América</t>
        </is>
      </c>
      <c r="D176" s="2">
        <v>11300</v>
      </c>
    </row>
    <row r="177">
      <c r="A177" s="2" t="inlineStr">
        <is>
          <t xml:space="preserve">Saint Pierre and Miquelon</t>
        </is>
      </c>
      <c r="B177" s="2">
        <v>78.91</v>
      </c>
      <c r="C177" s="2" t="inlineStr">
        <is>
          <t xml:space="preserve">Norte América</t>
        </is>
      </c>
      <c r="D177" s="2">
        <v>7000</v>
      </c>
    </row>
    <row r="178">
      <c r="A178" s="2" t="inlineStr">
        <is>
          <t xml:space="preserve">Saint Vincent and the Grenadines</t>
        </is>
      </c>
      <c r="B178" s="2">
        <v>74.34</v>
      </c>
      <c r="C178" s="2" t="inlineStr">
        <is>
          <t xml:space="preserve">Norte América</t>
        </is>
      </c>
      <c r="D178" s="2">
        <v>10500</v>
      </c>
    </row>
    <row r="179">
      <c r="A179" s="2" t="inlineStr">
        <is>
          <t xml:space="preserve">Samoa</t>
        </is>
      </c>
      <c r="B179" s="2">
        <v>71.58</v>
      </c>
      <c r="C179" s="2" t="inlineStr">
        <is>
          <t xml:space="preserve">Oceanía</t>
        </is>
      </c>
      <c r="D179" s="2">
        <v>8000</v>
      </c>
    </row>
    <row r="180">
      <c r="A180" s="2" t="inlineStr">
        <is>
          <t xml:space="preserve">San Marino</t>
        </is>
      </c>
      <c r="B180" s="2">
        <v>81.88</v>
      </c>
      <c r="C180" s="2" t="inlineStr">
        <is>
          <t xml:space="preserve">Europa</t>
        </is>
      </c>
      <c r="D180" s="2">
        <v>41900</v>
      </c>
    </row>
    <row r="181">
      <c r="A181" s="2" t="inlineStr">
        <is>
          <t xml:space="preserve">Sao Tome and Principe</t>
        </is>
      </c>
      <c r="B181" s="2">
        <v>68</v>
      </c>
      <c r="C181" s="2" t="inlineStr">
        <is>
          <t xml:space="preserve">Africa</t>
        </is>
      </c>
      <c r="D181" s="2">
        <v>1300</v>
      </c>
    </row>
    <row r="182">
      <c r="A182" s="2" t="inlineStr">
        <is>
          <t xml:space="preserve">Saudi Arabia</t>
        </is>
      </c>
      <c r="B182" s="2">
        <v>76.09</v>
      </c>
      <c r="C182" s="2" t="inlineStr">
        <is>
          <t xml:space="preserve">Asia</t>
        </is>
      </c>
      <c r="D182" s="2">
        <v>20700</v>
      </c>
    </row>
    <row r="183">
      <c r="A183" s="2" t="inlineStr">
        <is>
          <t xml:space="preserve">Senegal</t>
        </is>
      </c>
      <c r="B183" s="2">
        <v>57.08</v>
      </c>
      <c r="C183" s="2" t="inlineStr">
        <is>
          <t xml:space="preserve">Africa</t>
        </is>
      </c>
      <c r="D183" s="2">
        <v>1600</v>
      </c>
    </row>
    <row r="184">
      <c r="A184" s="2" t="inlineStr">
        <is>
          <t xml:space="preserve">Serbia</t>
        </is>
      </c>
      <c r="B184" s="2">
        <v>75.29</v>
      </c>
      <c r="C184" s="2" t="inlineStr">
        <is>
          <t xml:space="preserve">Europa</t>
        </is>
      </c>
      <c r="D184" s="2">
        <v>10900</v>
      </c>
    </row>
    <row r="185">
      <c r="A185" s="2" t="inlineStr">
        <is>
          <t xml:space="preserve">Seychelles</t>
        </is>
      </c>
      <c r="B185" s="2">
        <v>72.6</v>
      </c>
      <c r="C185" s="2" t="inlineStr">
        <is>
          <t xml:space="preserve">Africa</t>
        </is>
      </c>
      <c r="D185" s="2">
        <v>17000</v>
      </c>
    </row>
    <row r="186">
      <c r="A186" s="2" t="inlineStr">
        <is>
          <t xml:space="preserve">Sierra Leone</t>
        </is>
      </c>
      <c r="B186" s="2">
        <v>40.93</v>
      </c>
      <c r="C186" s="2" t="inlineStr">
        <is>
          <t xml:space="preserve">Africa</t>
        </is>
      </c>
      <c r="D186" s="2">
        <v>700</v>
      </c>
    </row>
    <row r="187">
      <c r="A187" s="2" t="inlineStr">
        <is>
          <t xml:space="preserve">Singapore</t>
        </is>
      </c>
      <c r="B187" s="2">
        <v>81.89</v>
      </c>
      <c r="C187" s="2" t="inlineStr">
        <is>
          <t xml:space="preserve">Asia</t>
        </is>
      </c>
      <c r="D187" s="2">
        <v>52000</v>
      </c>
    </row>
    <row r="188">
      <c r="A188" s="2" t="inlineStr">
        <is>
          <t xml:space="preserve">Slovakia</t>
        </is>
      </c>
      <c r="B188" s="2">
        <v>75.17</v>
      </c>
      <c r="C188" s="2" t="inlineStr">
        <is>
          <t xml:space="preserve">Europa</t>
        </is>
      </c>
      <c r="D188" s="2">
        <v>21900</v>
      </c>
    </row>
    <row r="189">
      <c r="A189" s="2" t="inlineStr">
        <is>
          <t xml:space="preserve">Slovenia</t>
        </is>
      </c>
      <c r="B189" s="2">
        <v>76.73</v>
      </c>
      <c r="C189" s="2" t="inlineStr">
        <is>
          <t xml:space="preserve">Europa</t>
        </is>
      </c>
      <c r="D189" s="2">
        <v>29500</v>
      </c>
    </row>
    <row r="190">
      <c r="A190" s="2" t="inlineStr">
        <is>
          <t xml:space="preserve">Solomon Islands</t>
        </is>
      </c>
      <c r="B190" s="2">
        <v>73.44</v>
      </c>
      <c r="C190" s="2" t="inlineStr">
        <is>
          <t xml:space="preserve">Oceanía</t>
        </is>
      </c>
      <c r="D190" s="2">
        <v>1900</v>
      </c>
    </row>
    <row r="191">
      <c r="A191" s="2" t="inlineStr">
        <is>
          <t xml:space="preserve">Somalia</t>
        </is>
      </c>
      <c r="B191" s="2">
        <v>49.25</v>
      </c>
      <c r="C191" s="2" t="inlineStr">
        <is>
          <t xml:space="preserve">Africa</t>
        </is>
      </c>
      <c r="D191" s="2">
        <v>600</v>
      </c>
    </row>
    <row r="192">
      <c r="A192" s="2" t="inlineStr">
        <is>
          <t xml:space="preserve">South Africa</t>
        </is>
      </c>
      <c r="B192" s="2">
        <v>42.37</v>
      </c>
      <c r="C192" s="2" t="inlineStr">
        <is>
          <t xml:space="preserve">Africa</t>
        </is>
      </c>
      <c r="D192" s="2">
        <v>10000</v>
      </c>
    </row>
    <row r="193">
      <c r="A193" s="2" t="inlineStr">
        <is>
          <t xml:space="preserve">Spain</t>
        </is>
      </c>
      <c r="B193" s="2">
        <v>79.92</v>
      </c>
      <c r="C193" s="2" t="inlineStr">
        <is>
          <t xml:space="preserve">Europa</t>
        </is>
      </c>
      <c r="D193" s="2">
        <v>34600</v>
      </c>
    </row>
    <row r="194">
      <c r="A194" s="2" t="inlineStr">
        <is>
          <t xml:space="preserve">Sri Lanka</t>
        </is>
      </c>
      <c r="B194" s="2">
        <v>74.97</v>
      </c>
      <c r="C194" s="2" t="inlineStr">
        <is>
          <t xml:space="preserve">Asia</t>
        </is>
      </c>
      <c r="D194" s="2">
        <v>4300</v>
      </c>
    </row>
    <row r="195">
      <c r="A195" s="2" t="inlineStr">
        <is>
          <t xml:space="preserve">Sudan</t>
        </is>
      </c>
      <c r="B195" s="2">
        <v>50.28</v>
      </c>
      <c r="C195" s="2" t="inlineStr">
        <is>
          <t xml:space="preserve">Africa</t>
        </is>
      </c>
      <c r="D195" s="2">
        <v>2200</v>
      </c>
    </row>
    <row r="196">
      <c r="A196" s="2" t="inlineStr">
        <is>
          <t xml:space="preserve">Suriname</t>
        </is>
      </c>
      <c r="B196" s="2">
        <v>73.48</v>
      </c>
      <c r="C196" s="2" t="inlineStr">
        <is>
          <t xml:space="preserve">Sur América</t>
        </is>
      </c>
      <c r="D196" s="2">
        <v>8900</v>
      </c>
    </row>
    <row r="197">
      <c r="A197" s="2" t="inlineStr">
        <is>
          <t xml:space="preserve">Swaziland</t>
        </is>
      </c>
      <c r="B197" s="2">
        <v>31.99</v>
      </c>
      <c r="C197" s="2" t="inlineStr">
        <is>
          <t xml:space="preserve">Africa</t>
        </is>
      </c>
      <c r="D197" s="2">
        <v>5100</v>
      </c>
    </row>
    <row r="198">
      <c r="A198" s="2" t="inlineStr">
        <is>
          <t xml:space="preserve">Sweden</t>
        </is>
      </c>
      <c r="B198" s="2">
        <v>80.74</v>
      </c>
      <c r="C198" s="2" t="inlineStr">
        <is>
          <t xml:space="preserve">Europa</t>
        </is>
      </c>
      <c r="D198" s="2">
        <v>38500</v>
      </c>
    </row>
    <row r="199">
      <c r="A199" s="2" t="inlineStr">
        <is>
          <t xml:space="preserve">Switzerland</t>
        </is>
      </c>
      <c r="B199" s="2">
        <v>80.74</v>
      </c>
      <c r="C199" s="2" t="inlineStr">
        <is>
          <t xml:space="preserve">Europa</t>
        </is>
      </c>
      <c r="D199" s="2">
        <v>40900</v>
      </c>
    </row>
    <row r="200">
      <c r="A200" s="2" t="inlineStr">
        <is>
          <t xml:space="preserve">Syria</t>
        </is>
      </c>
      <c r="B200" s="2">
        <v>70.9</v>
      </c>
      <c r="C200" s="2" t="inlineStr">
        <is>
          <t xml:space="preserve">Asia</t>
        </is>
      </c>
      <c r="D200" s="2">
        <v>4800</v>
      </c>
    </row>
    <row r="201">
      <c r="A201" s="2" t="inlineStr">
        <is>
          <t xml:space="preserve">Taiwan</t>
        </is>
      </c>
      <c r="B201" s="2">
        <v>77.76</v>
      </c>
      <c r="C201" s="2" t="inlineStr">
        <is>
          <t xml:space="preserve">Asia</t>
        </is>
      </c>
      <c r="D201" s="2">
        <v>31900</v>
      </c>
    </row>
    <row r="202">
      <c r="A202" s="2" t="inlineStr">
        <is>
          <t xml:space="preserve">Tajikistan</t>
        </is>
      </c>
      <c r="B202" s="2">
        <v>64.97</v>
      </c>
      <c r="C202" s="2" t="inlineStr">
        <is>
          <t xml:space="preserve">Asia</t>
        </is>
      </c>
      <c r="D202" s="2">
        <v>2100</v>
      </c>
    </row>
    <row r="203">
      <c r="A203" s="2" t="inlineStr">
        <is>
          <t xml:space="preserve">Tanzania</t>
        </is>
      </c>
      <c r="B203" s="2">
        <v>51.45</v>
      </c>
      <c r="C203" s="2" t="inlineStr">
        <is>
          <t xml:space="preserve">Africa</t>
        </is>
      </c>
      <c r="D203" s="2">
        <v>1300</v>
      </c>
    </row>
    <row r="204">
      <c r="A204" s="2" t="inlineStr">
        <is>
          <t xml:space="preserve">Thailand</t>
        </is>
      </c>
      <c r="B204" s="2">
        <v>72.83</v>
      </c>
      <c r="C204" s="2" t="inlineStr">
        <is>
          <t xml:space="preserve">Asia</t>
        </is>
      </c>
      <c r="D204" s="2">
        <v>8500</v>
      </c>
    </row>
    <row r="205">
      <c r="A205" s="2" t="inlineStr">
        <is>
          <t xml:space="preserve">Timor-Leste</t>
        </is>
      </c>
      <c r="B205" s="2">
        <v>66.94</v>
      </c>
      <c r="C205" s="2" t="inlineStr">
        <is>
          <t xml:space="preserve">Asia</t>
        </is>
      </c>
      <c r="D205" s="2">
        <v>2400</v>
      </c>
    </row>
    <row r="206">
      <c r="A206" s="2" t="inlineStr">
        <is>
          <t xml:space="preserve">Togo</t>
        </is>
      </c>
      <c r="B206" s="2">
        <v>58.28</v>
      </c>
      <c r="C206" s="2" t="inlineStr">
        <is>
          <t xml:space="preserve">Africa</t>
        </is>
      </c>
      <c r="D206" s="2">
        <v>900</v>
      </c>
    </row>
    <row r="207">
      <c r="A207" s="2" t="inlineStr">
        <is>
          <t xml:space="preserve">Tokelau</t>
        </is>
      </c>
      <c r="B207" s="2">
        <v>64.77</v>
      </c>
      <c r="C207" s="2" t="inlineStr">
        <is>
          <t xml:space="preserve">Oceanía</t>
        </is>
      </c>
      <c r="D207" s="2">
        <v>1000</v>
      </c>
    </row>
    <row r="208">
      <c r="A208" s="2" t="inlineStr">
        <is>
          <t xml:space="preserve">Tonga</t>
        </is>
      </c>
      <c r="B208" s="2">
        <v>70.44</v>
      </c>
      <c r="C208" s="2" t="inlineStr">
        <is>
          <t xml:space="preserve">Oceanía</t>
        </is>
      </c>
      <c r="D208" s="2">
        <v>4600</v>
      </c>
    </row>
    <row r="209">
      <c r="A209" s="2" t="inlineStr">
        <is>
          <t xml:space="preserve">Trinidad and Tobago</t>
        </is>
      </c>
      <c r="B209" s="2">
        <v>67</v>
      </c>
      <c r="C209" s="2" t="inlineStr">
        <is>
          <t xml:space="preserve">Norte América</t>
        </is>
      </c>
      <c r="D209" s="2">
        <v>18600</v>
      </c>
    </row>
    <row r="210">
      <c r="A210" s="2" t="inlineStr">
        <is>
          <t xml:space="preserve">Tunisia</t>
        </is>
      </c>
      <c r="B210" s="2">
        <v>75.56</v>
      </c>
      <c r="C210" s="2" t="inlineStr">
        <is>
          <t xml:space="preserve">Africa</t>
        </is>
      </c>
      <c r="D210" s="2">
        <v>7900</v>
      </c>
    </row>
    <row r="211">
      <c r="A211" s="2" t="inlineStr">
        <is>
          <t xml:space="preserve">Turkey</t>
        </is>
      </c>
      <c r="B211" s="2">
        <v>73.14</v>
      </c>
      <c r="C211" s="2" t="inlineStr">
        <is>
          <t xml:space="preserve">Asia</t>
        </is>
      </c>
      <c r="D211" s="2">
        <v>12000</v>
      </c>
    </row>
    <row r="212">
      <c r="A212" s="2" t="inlineStr">
        <is>
          <t xml:space="preserve">Turkmenistan</t>
        </is>
      </c>
      <c r="B212" s="2">
        <v>68.6</v>
      </c>
      <c r="C212" s="2" t="inlineStr">
        <is>
          <t xml:space="preserve">Asia</t>
        </is>
      </c>
      <c r="D212" s="2">
        <v>6100</v>
      </c>
    </row>
    <row r="213">
      <c r="A213" s="2" t="inlineStr">
        <is>
          <t xml:space="preserve">Turks and Caicos Islands</t>
        </is>
      </c>
      <c r="B213" s="2">
        <v>75.19</v>
      </c>
      <c r="C213" s="2" t="inlineStr">
        <is>
          <t xml:space="preserve">Norte América</t>
        </is>
      </c>
      <c r="D213" s="2">
        <v>11500</v>
      </c>
    </row>
    <row r="214">
      <c r="A214" s="2" t="inlineStr">
        <is>
          <t xml:space="preserve">Tuvalu</t>
        </is>
      </c>
      <c r="B214" s="2">
        <v>68.97</v>
      </c>
      <c r="C214" s="2" t="inlineStr">
        <is>
          <t xml:space="preserve">Oceanía</t>
        </is>
      </c>
      <c r="D214" s="2">
        <v>1600</v>
      </c>
    </row>
    <row r="215">
      <c r="A215" s="2" t="inlineStr">
        <is>
          <t xml:space="preserve">Uganda</t>
        </is>
      </c>
      <c r="B215" s="2">
        <v>52.34</v>
      </c>
      <c r="C215" s="2" t="inlineStr">
        <is>
          <t xml:space="preserve">Africa</t>
        </is>
      </c>
      <c r="D215" s="2">
        <v>1100</v>
      </c>
    </row>
    <row r="216">
      <c r="A216" s="2" t="inlineStr">
        <is>
          <t xml:space="preserve">Ukraine</t>
        </is>
      </c>
      <c r="B216" s="2">
        <v>68.06</v>
      </c>
      <c r="C216" s="2" t="inlineStr">
        <is>
          <t xml:space="preserve">Europa</t>
        </is>
      </c>
      <c r="D216" s="2">
        <v>6900</v>
      </c>
    </row>
    <row r="217">
      <c r="A217" s="2" t="inlineStr">
        <is>
          <t xml:space="preserve">United Arab Emirates</t>
        </is>
      </c>
      <c r="B217" s="2">
        <v>75.89</v>
      </c>
      <c r="C217" s="2" t="inlineStr">
        <is>
          <t xml:space="preserve">Asia</t>
        </is>
      </c>
      <c r="D217" s="2">
        <v>40000</v>
      </c>
    </row>
    <row r="218">
      <c r="A218" s="2" t="inlineStr">
        <is>
          <t xml:space="preserve">United Kingdom</t>
        </is>
      </c>
      <c r="B218" s="2">
        <v>78.85</v>
      </c>
      <c r="C218" s="2" t="inlineStr">
        <is>
          <t xml:space="preserve">Europa</t>
        </is>
      </c>
      <c r="D218" s="2">
        <v>36600</v>
      </c>
    </row>
    <row r="219">
      <c r="A219" s="2" t="inlineStr">
        <is>
          <t xml:space="preserve">United States</t>
        </is>
      </c>
      <c r="B219" s="2">
        <v>78.14</v>
      </c>
      <c r="C219" s="2" t="inlineStr">
        <is>
          <t xml:space="preserve">Norte América</t>
        </is>
      </c>
      <c r="D219" s="2">
        <v>47000</v>
      </c>
    </row>
    <row r="220">
      <c r="A220" s="2" t="inlineStr">
        <is>
          <t xml:space="preserve">Uruguay</t>
        </is>
      </c>
      <c r="B220" s="2">
        <v>76.14</v>
      </c>
      <c r="C220" s="2" t="inlineStr">
        <is>
          <t xml:space="preserve">Sur América</t>
        </is>
      </c>
      <c r="D220" s="2">
        <v>12200</v>
      </c>
    </row>
    <row r="221">
      <c r="A221" s="2" t="inlineStr">
        <is>
          <t xml:space="preserve">Uzbekistan</t>
        </is>
      </c>
      <c r="B221" s="2">
        <v>65.38</v>
      </c>
      <c r="C221" s="2" t="inlineStr">
        <is>
          <t xml:space="preserve">Asia</t>
        </is>
      </c>
      <c r="D221" s="2">
        <v>2600</v>
      </c>
    </row>
    <row r="222">
      <c r="A222" s="2" t="inlineStr">
        <is>
          <t xml:space="preserve">Vanuatu</t>
        </is>
      </c>
      <c r="B222" s="2">
        <v>63.61</v>
      </c>
      <c r="C222" s="2" t="inlineStr">
        <is>
          <t xml:space="preserve">Oceanía</t>
        </is>
      </c>
      <c r="D222" s="2">
        <v>4600</v>
      </c>
    </row>
    <row r="223">
      <c r="A223" s="2" t="inlineStr">
        <is>
          <t xml:space="preserve">Venezuela</t>
        </is>
      </c>
      <c r="B223" s="2">
        <v>73.45</v>
      </c>
      <c r="C223" s="2" t="inlineStr">
        <is>
          <t xml:space="preserve">Sur América</t>
        </is>
      </c>
      <c r="D223" s="2">
        <v>13500</v>
      </c>
    </row>
    <row r="224">
      <c r="A224" s="2" t="inlineStr">
        <is>
          <t xml:space="preserve">Vietnam</t>
        </is>
      </c>
      <c r="B224" s="2">
        <v>71.33</v>
      </c>
      <c r="C224" s="2" t="inlineStr">
        <is>
          <t xml:space="preserve">Asia</t>
        </is>
      </c>
      <c r="D224" s="2">
        <v>2800</v>
      </c>
    </row>
    <row r="225">
      <c r="A225" s="2" t="inlineStr">
        <is>
          <t xml:space="preserve">Virgin Islands</t>
        </is>
      </c>
      <c r="B225" s="2">
        <v>79.34</v>
      </c>
      <c r="C225" s="2" t="inlineStr">
        <is>
          <t xml:space="preserve">Norte América</t>
        </is>
      </c>
      <c r="D225" s="2">
        <v>14500</v>
      </c>
    </row>
    <row r="226">
      <c r="A226" s="2" t="inlineStr">
        <is>
          <t xml:space="preserve">Wallis and Futuna</t>
        </is>
      </c>
      <c r="B226" s="2">
        <v>66.07</v>
      </c>
      <c r="C226" s="2" t="inlineStr">
        <is>
          <t xml:space="preserve">Oceanía</t>
        </is>
      </c>
      <c r="D226" s="2">
        <v>3800</v>
      </c>
    </row>
    <row r="227">
      <c r="A227" s="2" t="inlineStr">
        <is>
          <t xml:space="preserve">Western Sahara</t>
        </is>
      </c>
      <c r="B227" s="2">
        <v>53.92</v>
      </c>
      <c r="C227" s="2" t="inlineStr">
        <is>
          <t xml:space="preserve">Africa</t>
        </is>
      </c>
      <c r="D227" s="2">
        <v>2500</v>
      </c>
    </row>
    <row r="228">
      <c r="A228" s="2" t="inlineStr">
        <is>
          <t xml:space="preserve">Yemen</t>
        </is>
      </c>
      <c r="B228" s="2">
        <v>62.9</v>
      </c>
      <c r="C228" s="2" t="inlineStr">
        <is>
          <t xml:space="preserve">Asia</t>
        </is>
      </c>
      <c r="D228" s="2">
        <v>2400</v>
      </c>
    </row>
    <row r="229">
      <c r="A229" s="2" t="inlineStr">
        <is>
          <t xml:space="preserve">Zambia</t>
        </is>
      </c>
      <c r="B229" s="2">
        <v>38.59</v>
      </c>
      <c r="C229" s="2" t="inlineStr">
        <is>
          <t xml:space="preserve">Africa</t>
        </is>
      </c>
      <c r="D229" s="2">
        <v>1500</v>
      </c>
    </row>
    <row r="230">
      <c r="A230" s="2" t="inlineStr">
        <is>
          <t xml:space="preserve">Zimbabwe</t>
        </is>
      </c>
      <c r="B230" s="2">
        <v>39.73</v>
      </c>
      <c r="C230" s="2" t="inlineStr">
        <is>
          <t xml:space="preserve">Africa</t>
        </is>
      </c>
      <c r="D230" s="2">
        <v>200</v>
      </c>
    </row>
  </sheetData>
  <pageMargins left="0.4" right="0.4" top="0.5" bottom="0.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27" customWidth="1"/>
    <col min="2" max="2" width="20" customWidth="1"/>
    <col min="3" max="3" width="24" customWidth="1"/>
    <col min="4" max="4" width="22" customWidth="1"/>
    <col min="5" max="5" width="22" customWidth="1"/>
  </cols>
  <sheetData>
    <row r="1">
      <c r="A1" s="1" t="inlineStr">
        <is>
          <t xml:space="preserve">Resumen de países por continente</t>
        </is>
      </c>
    </row>
    <row r="2">
      <c r="A2" s="0" t="inlineStr">
        <is>
          <t xml:space="preserve">Resumen por fórmulas, equivalente al ejercicio de tabla dinámica. Promedios simples por país.</t>
        </is>
      </c>
    </row>
    <row r="4">
      <c r="A4" s="1" t="inlineStr">
        <is>
          <t xml:space="preserve">Continente</t>
        </is>
      </c>
      <c r="B4" s="1" t="inlineStr">
        <is>
          <t xml:space="preserve">Recuento</t>
        </is>
      </c>
      <c r="C4" s="1" t="inlineStr">
        <is>
          <t xml:space="preserve">Vida promedio</t>
        </is>
      </c>
      <c r="D4" s="1" t="inlineStr">
        <is>
          <t xml:space="preserve">PPP promedio</t>
        </is>
      </c>
      <c r="E4" s="1" t="inlineStr">
        <is>
          <t xml:space="preserve">PPP máximo</t>
        </is>
      </c>
    </row>
    <row r="5">
      <c r="A5" s="0" t="inlineStr">
        <is>
          <t xml:space="preserve">Asia</t>
        </is>
      </c>
      <c r="B5" s="3">
        <f>COUNTIF('Base continentes'!$C$5:$C$230,A5)</f>
        <v>51</v>
      </c>
      <c r="C5" s="3">
        <f>AVERAGEIF('Base continentes'!$C$5:$C$230,A5,'Base continentes'!$B$5:$B$230)</f>
        <v>70.96764705882353</v>
      </c>
      <c r="D5" s="3">
        <f>AVERAGEIF('Base continentes'!$C$5:$C$230,A5,'Base continentes'!$D$5:$D$230)</f>
        <v>15341.176470588236</v>
      </c>
      <c r="E5" s="0">
        <v>103500</v>
      </c>
    </row>
    <row r="6">
      <c r="A6" s="0" t="inlineStr">
        <is>
          <t xml:space="preserve">Europa</t>
        </is>
      </c>
      <c r="B6" s="3">
        <f>COUNTIF('Base continentes'!$C$5:$C$230,A6)</f>
        <v>49</v>
      </c>
      <c r="C6" s="3">
        <f>AVERAGEIF('Base continentes'!$C$5:$C$230,A6,'Base continentes'!$B$5:$B$230)</f>
        <v>76.92877551020406</v>
      </c>
      <c r="D6" s="3">
        <f>AVERAGEIF('Base continentes'!$C$5:$C$230,A6,'Base continentes'!$D$5:$D$230)</f>
        <v>30069.38775510204</v>
      </c>
      <c r="E6" s="0">
        <v>118000</v>
      </c>
    </row>
    <row r="7">
      <c r="A7" s="0" t="inlineStr">
        <is>
          <t xml:space="preserve">Africa</t>
        </is>
      </c>
      <c r="B7" s="3">
        <f>COUNTIF('Base continentes'!$C$5:$C$230,A7)</f>
        <v>56</v>
      </c>
      <c r="C7" s="3">
        <f>AVERAGEIF('Base continentes'!$C$5:$C$230,A7,'Base continentes'!$B$5:$B$230)</f>
        <v>54.16428571428572</v>
      </c>
      <c r="D7" s="3">
        <f>AVERAGEIF('Base continentes'!$C$5:$C$230,A7,'Base continentes'!$D$5:$D$230)</f>
        <v>3916.0714285714284</v>
      </c>
      <c r="E7" s="0">
        <v>31400</v>
      </c>
    </row>
    <row r="8">
      <c r="A8" s="0" t="inlineStr">
        <is>
          <t xml:space="preserve">Oceanía</t>
        </is>
      </c>
      <c r="B8" s="3">
        <f>COUNTIF('Base continentes'!$C$5:$C$230,A8)</f>
        <v>23</v>
      </c>
      <c r="C8" s="3">
        <f>AVERAGEIF('Base continentes'!$C$5:$C$230,A8,'Base continentes'!$B$5:$B$230)</f>
        <v>71.3486956521739</v>
      </c>
      <c r="D8" s="3">
        <f>AVERAGEIF('Base continentes'!$C$5:$C$230,A8,'Base continentes'!$D$5:$D$230)</f>
        <v>8782.608695652174</v>
      </c>
      <c r="E8" s="0">
        <v>38100</v>
      </c>
    </row>
    <row r="9">
      <c r="A9" s="0" t="inlineStr">
        <is>
          <t xml:space="preserve">Norte América</t>
        </is>
      </c>
      <c r="B9" s="3">
        <f>COUNTIF('Base continentes'!$C$5:$C$230,A9)</f>
        <v>35</v>
      </c>
      <c r="C9" s="3">
        <f>AVERAGEIF('Base continentes'!$C$5:$C$230,A9,'Base continentes'!$B$5:$B$230)</f>
        <v>74.02571428571429</v>
      </c>
      <c r="D9" s="3">
        <f>AVERAGEIF('Base continentes'!$C$5:$C$230,A9,'Base continentes'!$D$5:$D$230)</f>
        <v>17160</v>
      </c>
      <c r="E9" s="0">
        <v>69900</v>
      </c>
    </row>
    <row r="10">
      <c r="A10" s="0" t="inlineStr">
        <is>
          <t xml:space="preserve">Sur América</t>
        </is>
      </c>
      <c r="B10" s="3">
        <f>COUNTIF('Base continentes'!$C$5:$C$230,A10)</f>
        <v>12</v>
      </c>
      <c r="C10" s="3">
        <f>AVERAGEIF('Base continentes'!$C$5:$C$230,A10,'Base continentes'!$B$5:$B$230)</f>
        <v>73.13000000000001</v>
      </c>
      <c r="D10" s="3">
        <f>AVERAGEIF('Base continentes'!$C$5:$C$230,A10,'Base continentes'!$D$5:$D$230)</f>
        <v>9266.666666666666</v>
      </c>
      <c r="E10" s="0">
        <v>14900</v>
      </c>
    </row>
    <row r="12">
      <c r="A12" s="0" t="inlineStr">
        <is>
          <t xml:space="preserve">PPP máximo: valores de referencia; calcula Máximo en tabla dinámica para practicar.</t>
        </is>
      </c>
    </row>
  </sheetData>
  <pageMargins left="0.4" right="0.4" top="0.5" bottom="0.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25" customWidth="1"/>
    <col min="2" max="2" width="25" customWidth="1"/>
    <col min="3" max="3" width="25" customWidth="1"/>
    <col min="4" max="4" width="25" customWidth="1"/>
  </cols>
  <sheetData>
    <row r="1">
      <c r="A1" s="1" t="inlineStr">
        <is>
          <t xml:space="preserve">Egresos simulados · Tablas dinámicas</t>
        </is>
      </c>
    </row>
    <row r="2">
      <c r="A2" s="0" t="inlineStr">
        <is>
          <t xml:space="preserve">Fuente de seis egresos para practicar recuento, suma y promedio.</t>
        </is>
      </c>
    </row>
    <row r="4">
      <c r="A4" s="1" t="inlineStr">
        <is>
          <t xml:space="preserve">ID</t>
        </is>
      </c>
      <c r="B4" s="1" t="inlineStr">
        <is>
          <t xml:space="preserve">Servicio</t>
        </is>
      </c>
      <c r="C4" s="1" t="inlineStr">
        <is>
          <t xml:space="preserve">Estadía (días)</t>
        </is>
      </c>
      <c r="D4" s="1" t="inlineStr">
        <is>
          <t xml:space="preserve">Costo ($)</t>
        </is>
      </c>
    </row>
    <row r="5">
      <c r="A5" s="2">
        <v>1</v>
      </c>
      <c r="B5" s="2" t="inlineStr">
        <is>
          <t xml:space="preserve">Medicina</t>
        </is>
      </c>
      <c r="C5" s="2">
        <v>3</v>
      </c>
      <c r="D5" s="2">
        <v>120000</v>
      </c>
    </row>
    <row r="6">
      <c r="A6" s="2">
        <v>2</v>
      </c>
      <c r="B6" s="2" t="inlineStr">
        <is>
          <t xml:space="preserve">Medicina</t>
        </is>
      </c>
      <c r="C6" s="2">
        <v>5</v>
      </c>
      <c r="D6" s="2">
        <v>200000</v>
      </c>
    </row>
    <row r="7">
      <c r="A7" s="2">
        <v>3</v>
      </c>
      <c r="B7" s="2" t="inlineStr">
        <is>
          <t xml:space="preserve">Medicina</t>
        </is>
      </c>
      <c r="C7" s="2">
        <v>4</v>
      </c>
      <c r="D7" s="2">
        <v>160000</v>
      </c>
    </row>
    <row r="8">
      <c r="A8" s="2">
        <v>4</v>
      </c>
      <c r="B8" s="2" t="inlineStr">
        <is>
          <t xml:space="preserve">Cirugía</t>
        </is>
      </c>
      <c r="C8" s="2">
        <v>2</v>
      </c>
      <c r="D8" s="2">
        <v>300000</v>
      </c>
    </row>
    <row r="9">
      <c r="A9" s="2">
        <v>5</v>
      </c>
      <c r="B9" s="2" t="inlineStr">
        <is>
          <t xml:space="preserve">Cirugía</t>
        </is>
      </c>
      <c r="C9" s="2">
        <v>6</v>
      </c>
      <c r="D9" s="2">
        <v>500000</v>
      </c>
    </row>
    <row r="10">
      <c r="A10" s="2">
        <v>6</v>
      </c>
      <c r="B10" s="2" t="inlineStr">
        <is>
          <t xml:space="preserve">Cirugía</t>
        </is>
      </c>
      <c r="C10" s="2">
        <v>4</v>
      </c>
      <c r="D10" s="2">
        <v>400000</v>
      </c>
    </row>
    <row r="13">
      <c r="A13" s="1" t="inlineStr">
        <is>
          <t xml:space="preserve">Servicio</t>
        </is>
      </c>
      <c r="B13" s="1" t="inlineStr">
        <is>
          <t xml:space="preserve">Egresos</t>
        </is>
      </c>
      <c r="C13" s="1" t="inlineStr">
        <is>
          <t xml:space="preserve">Estadía promedio</t>
        </is>
      </c>
      <c r="D13" s="1" t="inlineStr">
        <is>
          <t xml:space="preserve">Costo total</t>
        </is>
      </c>
    </row>
    <row r="14">
      <c r="A14" s="0" t="inlineStr">
        <is>
          <t xml:space="preserve">Medicina</t>
        </is>
      </c>
      <c r="B14" s="3">
        <f>COUNTIF($B$5:$B$10,A14)</f>
        <v>3</v>
      </c>
      <c r="C14" s="3">
        <f>AVERAGEIF($B$5:$B$10,A14,$C$5:$C$10)</f>
        <v>4</v>
      </c>
      <c r="D14" s="3">
        <f>SUMIF($B$5:$B$10,A14,$D$5:$D$10)</f>
        <v>480000</v>
      </c>
    </row>
    <row r="15">
      <c r="A15" s="0" t="inlineStr">
        <is>
          <t xml:space="preserve">Cirugía</t>
        </is>
      </c>
      <c r="B15" s="3">
        <f>COUNTIF($B$5:$B$10,A15)</f>
        <v>3</v>
      </c>
      <c r="C15" s="3">
        <f>AVERAGEIF($B$5:$B$10,A15,$C$5:$C$10)</f>
        <v>4</v>
      </c>
      <c r="D15" s="3">
        <f>SUMIF($B$5:$B$10,A15,$D$5:$D$10)</f>
        <v>1200000</v>
      </c>
    </row>
  </sheetData>
  <pageMargins left="0.4" right="0.4" top="0.5" bottom="0.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4" topLeftCell="A5" activePane="bottomLeft" state="frozen"/>
    </sheetView>
  </sheetViews>
  <sheetFormatPr defaultRowHeight="18"/>
  <cols>
    <col min="1" max="1" width="25" customWidth="1"/>
    <col min="2" max="2" width="20" customWidth="1"/>
    <col min="3" max="3" width="22" customWidth="1"/>
    <col min="4" max="4" width="22" customWidth="1"/>
    <col min="5" max="5" width="20" customWidth="1"/>
    <col min="6" max="6" width="18" customWidth="1"/>
    <col min="7" max="7" width="22" customWidth="1"/>
    <col min="8" max="8" width="20" customWidth="1"/>
    <col min="9" max="9" width="22" customWidth="1"/>
    <col min="10" max="10" width="20" customWidth="1"/>
    <col min="12" max="12" width="12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</cols>
  <sheetData>
    <row r="1">
      <c r="A1" s="1" t="inlineStr">
        <is>
          <t xml:space="preserve">Erlang C · Consultorio Salud Viva</t>
        </is>
      </c>
    </row>
    <row r="2">
      <c r="A2" s="0" t="inlineStr">
        <is>
          <t xml:space="preserve">Compara 1–40 personas activas por hora. Sin solución muestra límite. Los candidatos están a la derecha.</t>
        </is>
      </c>
    </row>
    <row r="4">
      <c r="A4" s="1" t="inlineStr">
        <is>
          <t xml:space="preserve">Atención h (min)</t>
        </is>
      </c>
      <c r="B4" s="2">
        <v>5</v>
      </c>
      <c r="C4" s="1" t="inlineStr">
        <is>
          <t xml:space="preserve">Espera t (min)</t>
        </is>
      </c>
      <c r="D4" s="2">
        <v>10</v>
      </c>
      <c r="E4" s="1" t="inlineStr">
        <is>
          <t xml:space="preserve">Meta SL</t>
        </is>
      </c>
      <c r="F4" s="2">
        <v>0.8</v>
      </c>
      <c r="G4" s="1" t="inlineStr">
        <is>
          <t xml:space="preserve">Ocupación máx.</t>
        </is>
      </c>
      <c r="H4" s="2">
        <v>1</v>
      </c>
      <c r="I4" s="1" t="inlineStr">
        <is>
          <t xml:space="preserve">No disponibilidad</t>
        </is>
      </c>
      <c r="J4" s="2">
        <v>0</v>
      </c>
    </row>
    <row r="6">
      <c r="A6" s="1" t="inlineStr">
        <is>
          <t xml:space="preserve">Desde</t>
        </is>
      </c>
      <c r="B6" s="1" t="inlineStr">
        <is>
          <t xml:space="preserve">Llegadas/h</t>
        </is>
      </c>
      <c r="C6" s="1" t="inlineStr">
        <is>
          <t xml:space="preserve">Carga A</t>
        </is>
      </c>
      <c r="D6" s="1" t="inlineStr">
        <is>
          <t xml:space="preserve">Activos mínimos</t>
        </is>
      </c>
      <c r="E6" s="1" t="inlineStr">
        <is>
          <t xml:space="preserve">Ocupación</t>
        </is>
      </c>
      <c r="F6" s="1" t="inlineStr">
        <is>
          <t xml:space="preserve">P espera</t>
        </is>
      </c>
      <c r="G6" s="1" t="inlineStr">
        <is>
          <t xml:space="preserve">SL</t>
        </is>
      </c>
      <c r="H6" s="1" t="inlineStr">
        <is>
          <t xml:space="preserve">Wq (min)</t>
        </is>
      </c>
      <c r="I6" s="1" t="inlineStr">
        <is>
          <t xml:space="preserve">Programados</t>
        </is>
      </c>
      <c r="L6" s="1" t="inlineStr">
        <is>
          <t xml:space="preserve">c</t>
        </is>
      </c>
      <c r="M6" s="1" t="inlineStr">
        <is>
          <t xml:space="preserve">Erlang B</t>
        </is>
      </c>
      <c r="N6" s="1" t="inlineStr">
        <is>
          <t xml:space="preserve">ρ</t>
        </is>
      </c>
      <c r="O6" s="1" t="inlineStr">
        <is>
          <t xml:space="preserve">P espera</t>
        </is>
      </c>
      <c r="P6" s="1" t="inlineStr">
        <is>
          <t xml:space="preserve">SL</t>
        </is>
      </c>
      <c r="Q6" s="1" t="inlineStr">
        <is>
          <t xml:space="preserve">c factible</t>
        </is>
      </c>
    </row>
    <row r="7">
      <c r="A7" s="0" t="inlineStr">
        <is>
          <t xml:space="preserve">08:00</t>
        </is>
      </c>
      <c r="B7" s="2">
        <v>18</v>
      </c>
      <c r="C7" s="3">
        <f>B7*$B$4/60</f>
        <v>1.5</v>
      </c>
      <c r="D7" s="3">
        <f>IF(COUNT(Q7:Q46)=0,"Límite 40",MIN(Q7:Q46))</f>
        <v>3</v>
      </c>
      <c r="E7" s="3">
        <f>C7/D7</f>
        <v>0.5</v>
      </c>
      <c r="F7" s="3">
        <f>INDEX(O7:O46,D7)</f>
        <v>0.23684210526315785</v>
      </c>
      <c r="G7" s="3">
        <f>INDEX(P7:P46,D7)</f>
        <v>0.9882083259128743</v>
      </c>
      <c r="H7" s="3">
        <f>F7*$B$4/(D7-C7)</f>
        <v>0.7894736842105262</v>
      </c>
      <c r="I7" s="3">
        <f>ROUNDUP(D7/(1-$J$4),0)</f>
        <v>3</v>
      </c>
      <c r="L7" s="0">
        <v>1</v>
      </c>
      <c r="M7" s="3">
        <f>$C$7/(1+$C$7)</f>
        <v>0.6</v>
      </c>
      <c r="N7" s="3">
        <f>$C$7/L7</f>
        <v>1.5</v>
      </c>
      <c r="O7" s="3">
        <f>IF(L7&gt;$C$7,M7/(1-N7+N7*M7),1)</f>
        <v>1</v>
      </c>
      <c r="P7" s="3">
        <f>IF(L7&gt;$C$7,1-O7*EXP(-(L7-$C$7)*$D$4/$B$4),0)</f>
        <v>0</v>
      </c>
      <c r="Q7" s="3" t="str">
        <f>IF(AND(L7&gt;$C$7,P7&gt;=$F$4,N7&lt;=$H$4),L7,"")</f>
        <v/>
      </c>
    </row>
    <row r="8">
      <c r="A8" s="0" t="inlineStr">
        <is>
          <t xml:space="preserve">09:00</t>
        </is>
      </c>
      <c r="B8" s="2">
        <v>30</v>
      </c>
      <c r="C8" s="3">
        <f>B8*$B$4/60</f>
        <v>2.5</v>
      </c>
      <c r="D8" s="3">
        <f>IF(COUNT(Q49:Q88)=0,"Límite 40",MIN(Q49:Q88))</f>
        <v>4</v>
      </c>
      <c r="E8" s="3">
        <f>C8/D8</f>
        <v>0.625</v>
      </c>
      <c r="F8" s="3">
        <f>INDEX(O49:O88,D8)</f>
        <v>0.31985670419651996</v>
      </c>
      <c r="G8" s="3">
        <f>INDEX(P49:P88,D8)</f>
        <v>0.9840752724002483</v>
      </c>
      <c r="H8" s="3">
        <f>F8*$B$4/(D8-C8)</f>
        <v>1.0661890139883998</v>
      </c>
      <c r="I8" s="3">
        <f>ROUNDUP(D8/(1-$J$4),0)</f>
        <v>4</v>
      </c>
      <c r="L8" s="0">
        <v>2</v>
      </c>
      <c r="M8" s="3">
        <f>$C$7*M7/(L8+$C$7*M7)</f>
        <v>0.31034482758620685</v>
      </c>
      <c r="N8" s="3">
        <f>$C$7/L8</f>
        <v>0.75</v>
      </c>
      <c r="O8" s="3">
        <f>IF(L8&gt;$C$7,M8/(1-N8+N8*M8),1)</f>
        <v>0.6428571428571428</v>
      </c>
      <c r="P8" s="3">
        <f>IF(L8&gt;$C$7,1-O8*EXP(-(L8-$C$7)*$D$4/$B$4),0)</f>
        <v>0.7635060735326442</v>
      </c>
      <c r="Q8" s="3" t="str">
        <f>IF(AND(L8&gt;$C$7,P8&gt;=$F$4,N8&lt;=$H$4),L8,"")</f>
        <v/>
      </c>
    </row>
    <row r="9">
      <c r="A9" s="0" t="inlineStr">
        <is>
          <t xml:space="preserve">10:00</t>
        </is>
      </c>
      <c r="B9" s="2">
        <v>42</v>
      </c>
      <c r="C9" s="3">
        <f>B9*$B$4/60</f>
        <v>3.5</v>
      </c>
      <c r="D9" s="3">
        <f>IF(COUNT(Q91:Q130)=0,"Límite 40",MIN(Q91:Q130))</f>
        <v>5</v>
      </c>
      <c r="E9" s="3">
        <f>C9/D9</f>
        <v>0.7</v>
      </c>
      <c r="F9" s="3">
        <f>INDEX(O91:O130,D9)</f>
        <v>0.3778382266984398</v>
      </c>
      <c r="G9" s="3">
        <f>INDEX(P91:P130,D9)</f>
        <v>0.9811885423753723</v>
      </c>
      <c r="H9" s="3">
        <f>F9*$B$4/(D9-C9)</f>
        <v>1.2594607556614659</v>
      </c>
      <c r="I9" s="3">
        <f>ROUNDUP(D9/(1-$J$4),0)</f>
        <v>5</v>
      </c>
      <c r="L9" s="0">
        <v>3</v>
      </c>
      <c r="M9" s="3">
        <f>$C$7*M8/(L9+$C$7*M8)</f>
        <v>0.1343283582089552</v>
      </c>
      <c r="N9" s="3">
        <f>$C$7/L9</f>
        <v>0.5</v>
      </c>
      <c r="O9" s="3">
        <f>IF(L9&gt;$C$7,M9/(1-N9+N9*M9),1)</f>
        <v>0.23684210526315785</v>
      </c>
      <c r="P9" s="3">
        <f>IF(L9&gt;$C$7,1-O9*EXP(-(L9-$C$7)*$D$4/$B$4),0)</f>
        <v>0.9882083259128743</v>
      </c>
      <c r="Q9" s="3">
        <f>IF(AND(L9&gt;$C$7,P9&gt;=$F$4,N9&lt;=$H$4),L9,"")</f>
        <v>3</v>
      </c>
    </row>
    <row r="10">
      <c r="A10" s="0" t="inlineStr">
        <is>
          <t xml:space="preserve">11:00</t>
        </is>
      </c>
      <c r="B10" s="2">
        <v>36</v>
      </c>
      <c r="C10" s="3">
        <f>B10*$B$4/60</f>
        <v>3</v>
      </c>
      <c r="D10" s="3">
        <f>IF(COUNT(Q133:Q172)=0,"Límite 40",MIN(Q133:Q172))</f>
        <v>4</v>
      </c>
      <c r="E10" s="3">
        <f>C10/D10</f>
        <v>0.75</v>
      </c>
      <c r="F10" s="3">
        <f>INDEX(O133:O172,D10)</f>
        <v>0.5094339622641509</v>
      </c>
      <c r="G10" s="3">
        <f>INDEX(P133:P172,D10)</f>
        <v>0.9310556104266312</v>
      </c>
      <c r="H10" s="3">
        <f>F10*$B$4/(D10-C10)</f>
        <v>2.547169811320755</v>
      </c>
      <c r="I10" s="3">
        <f>ROUNDUP(D10/(1-$J$4),0)</f>
        <v>4</v>
      </c>
      <c r="L10" s="0">
        <v>4</v>
      </c>
      <c r="M10" s="3">
        <f>$C$7*M9/(L10+$C$7*M9)</f>
        <v>0.04795737122557726</v>
      </c>
      <c r="N10" s="3">
        <f>$C$7/L10</f>
        <v>0.375</v>
      </c>
      <c r="O10" s="3">
        <f>IF(L10&gt;$C$7,M10/(1-N10+N10*M10),1)</f>
        <v>0.07458563535911601</v>
      </c>
      <c r="P10" s="3">
        <f>IF(L10&gt;$C$7,1-O10*EXP(-(L10-$C$7)*$D$4/$B$4),0)</f>
        <v>0.9994974459420571</v>
      </c>
      <c r="Q10" s="3">
        <f>IF(AND(L10&gt;$C$7,P10&gt;=$F$4,N10&lt;=$H$4),L10,"")</f>
        <v>4</v>
      </c>
    </row>
    <row r="11">
      <c r="A11" s="0" t="inlineStr">
        <is>
          <t xml:space="preserve">12:00</t>
        </is>
      </c>
      <c r="B11" s="2">
        <v>24</v>
      </c>
      <c r="C11" s="3">
        <f>B11*$B$4/60</f>
        <v>2</v>
      </c>
      <c r="D11" s="3">
        <f>IF(COUNT(Q175:Q214)=0,"Límite 40",MIN(Q175:Q214))</f>
        <v>3</v>
      </c>
      <c r="E11" s="3">
        <f>C11/D11</f>
        <v>0.6666666666666666</v>
      </c>
      <c r="F11" s="3">
        <f>INDEX(O175:O214,D11)</f>
        <v>0.4444444444444445</v>
      </c>
      <c r="G11" s="3">
        <f>INDEX(P175:P214,D11)</f>
        <v>0.9398509852281721</v>
      </c>
      <c r="H11" s="3">
        <f>F11*$B$4/(D11-C11)</f>
        <v>2.2222222222222223</v>
      </c>
      <c r="I11" s="3">
        <f>ROUNDUP(D11/(1-$J$4),0)</f>
        <v>3</v>
      </c>
      <c r="L11" s="0">
        <v>5</v>
      </c>
      <c r="M11" s="3">
        <f>$C$7*M10/(L11+$C$7*M10)</f>
        <v>0.014183155314305723</v>
      </c>
      <c r="N11" s="3">
        <f>$C$7/L11</f>
        <v>0.3</v>
      </c>
      <c r="O11" s="3">
        <f>IF(L11&gt;$C$7,M11/(1-N11+N11*M11),1)</f>
        <v>0.020139234211834906</v>
      </c>
      <c r="P11" s="3">
        <f>IF(L11&gt;$C$7,1-O11*EXP(-(L11-$C$7)*$D$4/$B$4),0)</f>
        <v>0.9999816353955221</v>
      </c>
      <c r="Q11" s="3">
        <f>IF(AND(L11&gt;$C$7,P11&gt;=$F$4,N11&lt;=$H$4),L11,"")</f>
        <v>5</v>
      </c>
    </row>
    <row r="12">
      <c r="A12" s="0" t="inlineStr">
        <is>
          <t xml:space="preserve">13:00</t>
        </is>
      </c>
      <c r="B12" s="2">
        <v>15</v>
      </c>
      <c r="C12" s="3">
        <f>B12*$B$4/60</f>
        <v>1.25</v>
      </c>
      <c r="D12" s="3">
        <f>IF(COUNT(Q217:Q256)=0,"Límite 40",MIN(Q217:Q256))</f>
        <v>2</v>
      </c>
      <c r="E12" s="3">
        <f>C12/D12</f>
        <v>0.625</v>
      </c>
      <c r="F12" s="3">
        <f>INDEX(O217:O256,D12)</f>
        <v>0.4807692307692307</v>
      </c>
      <c r="G12" s="3">
        <f>INDEX(P217:P256,D12)</f>
        <v>0.8927258845440241</v>
      </c>
      <c r="H12" s="3">
        <f>F12*$B$4/(D12-C12)</f>
        <v>3.205128205128205</v>
      </c>
      <c r="I12" s="3">
        <f>ROUNDUP(D12/(1-$J$4),0)</f>
        <v>2</v>
      </c>
      <c r="L12" s="0">
        <v>6</v>
      </c>
      <c r="M12" s="3">
        <f>$C$7*M11/(L12+$C$7*M11)</f>
        <v>0.003533260632497273</v>
      </c>
      <c r="N12" s="3">
        <f>$C$7/L12</f>
        <v>0.25</v>
      </c>
      <c r="O12" s="3">
        <f>IF(L12&gt;$C$7,M12/(1-N12+N12*M12),1)</f>
        <v>0.004705472289996513</v>
      </c>
      <c r="P12" s="3">
        <f>IF(L12&gt;$C$7,1-O12*EXP(-(L12-$C$7)*$D$4/$B$4),0)</f>
        <v>0.9999994192985866</v>
      </c>
      <c r="Q12" s="3">
        <f>IF(AND(L12&gt;$C$7,P12&gt;=$F$4,N12&lt;=$H$4),L12,"")</f>
        <v>6</v>
      </c>
    </row>
    <row r="13">
      <c r="A13" s="0" t="inlineStr">
        <is>
          <t xml:space="preserve">14:00</t>
        </is>
      </c>
      <c r="B13" s="2">
        <v>20</v>
      </c>
      <c r="C13" s="3">
        <f>B13*$B$4/60</f>
        <v>1.6666666666666667</v>
      </c>
      <c r="D13" s="3">
        <f>IF(COUNT(Q259:Q298)=0,"Límite 40",MIN(Q259:Q298))</f>
        <v>3</v>
      </c>
      <c r="E13" s="3">
        <f>C13/D13</f>
        <v>0.5555555555555556</v>
      </c>
      <c r="F13" s="3">
        <f>INDEX(O259:O298,D13)</f>
        <v>0.29976019184652275</v>
      </c>
      <c r="G13" s="3">
        <f>INDEX(P259:P298,D13)</f>
        <v>0.9791716273312945</v>
      </c>
      <c r="H13" s="3">
        <f>F13*$B$4/(D13-C13)</f>
        <v>1.1241007194244603</v>
      </c>
      <c r="I13" s="3">
        <f>ROUNDUP(D13/(1-$J$4),0)</f>
        <v>3</v>
      </c>
      <c r="L13" s="0">
        <v>7</v>
      </c>
      <c r="M13" s="3">
        <f>$C$7*M12/(L13+$C$7*M12)</f>
        <v>0.0007565544703651698</v>
      </c>
      <c r="N13" s="3">
        <f>$C$7/L13</f>
        <v>0.21428571428571427</v>
      </c>
      <c r="O13" s="3">
        <f>IF(L13&gt;$C$7,M13/(1-N13+N13*M13),1)</f>
        <v>0.0009626888732182332</v>
      </c>
      <c r="P13" s="3">
        <f>IF(L13&gt;$C$7,1-O13*EXP(-(L13-$C$7)*$D$4/$B$4),0)</f>
        <v>0.9999999839214585</v>
      </c>
      <c r="Q13" s="3">
        <f>IF(AND(L13&gt;$C$7,P13&gt;=$F$4,N13&lt;=$H$4),L13,"")</f>
        <v>7</v>
      </c>
    </row>
    <row r="14">
      <c r="A14" s="0" t="inlineStr">
        <is>
          <t xml:space="preserve">15:00</t>
        </is>
      </c>
      <c r="B14" s="2">
        <v>28</v>
      </c>
      <c r="C14" s="3">
        <f>B14*$B$4/60</f>
        <v>2.3333333333333335</v>
      </c>
      <c r="D14" s="3">
        <f>IF(COUNT(Q301:Q340)=0,"Límite 40",MIN(Q301:Q340))</f>
        <v>3</v>
      </c>
      <c r="E14" s="3">
        <f>C14/D14</f>
        <v>0.7777777777777778</v>
      </c>
      <c r="F14" s="3">
        <f>INDEX(O301:O340,D14)</f>
        <v>0.6114081996434938</v>
      </c>
      <c r="G14" s="3">
        <f>INDEX(P301:P340,D14)</f>
        <v>0.838834548353486</v>
      </c>
      <c r="H14" s="3">
        <f>F14*$B$4/(D14-C14)</f>
        <v>4.585561497326204</v>
      </c>
      <c r="I14" s="3">
        <f>ROUNDUP(D14/(1-$J$4),0)</f>
        <v>3</v>
      </c>
      <c r="L14" s="0">
        <v>8</v>
      </c>
      <c r="M14" s="3">
        <f>$C$7*M13/(L14+$C$7*M13)</f>
        <v>0.0001418338435006538</v>
      </c>
      <c r="N14" s="3">
        <f>$C$7/L14</f>
        <v>0.1875</v>
      </c>
      <c r="O14" s="3">
        <f>IF(L14&gt;$C$7,M14/(1-N14+N14*M14),1)</f>
        <v>0.00017455901699088986</v>
      </c>
      <c r="P14" s="3">
        <f>IF(L14&gt;$C$7,1-O14*EXP(-(L14-$C$7)*$D$4/$B$4),0)</f>
        <v>0.9999999996054392</v>
      </c>
      <c r="Q14" s="3">
        <f>IF(AND(L14&gt;$C$7,P14&gt;=$F$4,N14&lt;=$H$4),L14,"")</f>
        <v>8</v>
      </c>
    </row>
    <row r="15">
      <c r="A15" s="0" t="inlineStr">
        <is>
          <t xml:space="preserve">16:00</t>
        </is>
      </c>
      <c r="B15" s="2">
        <v>22</v>
      </c>
      <c r="C15" s="3">
        <f>B15*$B$4/60</f>
        <v>1.8333333333333333</v>
      </c>
      <c r="D15" s="3">
        <f>IF(COUNT(Q343:Q382)=0,"Límite 40",MIN(Q343:Q382))</f>
        <v>3</v>
      </c>
      <c r="E15" s="3">
        <f>C15/D15</f>
        <v>0.611111111111111</v>
      </c>
      <c r="F15" s="3">
        <f>INDEX(O343:O382,D15)</f>
        <v>0.3691070438158624</v>
      </c>
      <c r="G15" s="3">
        <f>INDEX(P343:P382,D15)</f>
        <v>0.9642069636085626</v>
      </c>
      <c r="H15" s="3">
        <f>F15*$B$4/(D15-C15)</f>
        <v>1.5818873306394101</v>
      </c>
      <c r="I15" s="3">
        <f>ROUNDUP(D15/(1-$J$4),0)</f>
        <v>3</v>
      </c>
      <c r="L15" s="0">
        <v>9</v>
      </c>
      <c r="M15" s="3">
        <f>$C$7*M14/(L15+$C$7*M14)</f>
        <v>0.00002363841512889697</v>
      </c>
      <c r="N15" s="3">
        <f>$C$7/L15</f>
        <v>0.16666666666666666</v>
      </c>
      <c r="O15" s="3">
        <f>IF(L15&gt;$C$7,M15/(1-N15+N15*M15),1)</f>
        <v>0.000028365964049389618</v>
      </c>
      <c r="P15" s="3">
        <f>IF(L15&gt;$C$7,1-O15*EXP(-(L15-$C$7)*$D$4/$B$4),0)</f>
        <v>0.9999999999913228</v>
      </c>
      <c r="Q15" s="3">
        <f>IF(AND(L15&gt;$C$7,P15&gt;=$F$4,N15&lt;=$H$4),L15,"")</f>
        <v>9</v>
      </c>
    </row>
    <row r="16">
      <c r="L16" s="0">
        <v>10</v>
      </c>
      <c r="M16" s="3">
        <f>$C$7*M15/(L16+$C$7*M15)</f>
        <v>0.000003545749696949053</v>
      </c>
      <c r="N16" s="3">
        <f>$C$7/L16</f>
        <v>0.15</v>
      </c>
      <c r="O16" s="3">
        <f>IF(L16&gt;$C$7,M16/(1-N16+N16*M16),1)</f>
        <v>0.000004171467621531817</v>
      </c>
      <c r="P16" s="3">
        <f>IF(L16&gt;$C$7,1-O16*EXP(-(L16-$C$7)*$D$4/$B$4),0)</f>
        <v>0.9999999999998272</v>
      </c>
      <c r="Q16" s="3">
        <f>IF(AND(L16&gt;$C$7,P16&gt;=$F$4,N16&lt;=$H$4),L16,"")</f>
        <v>10</v>
      </c>
    </row>
    <row r="17">
      <c r="L17" s="0">
        <v>11</v>
      </c>
      <c r="M17" s="3">
        <f>$C$7*M16/(L17+$C$7*M16)</f>
        <v>4.835110885281488e-7</v>
      </c>
      <c r="N17" s="3">
        <f>$C$7/L17</f>
        <v>0.13636363636363635</v>
      </c>
      <c r="O17" s="3">
        <f>IF(L17&gt;$C$7,M17/(1-N17+N17*M17),1)</f>
        <v>5.598549018700586e-7</v>
      </c>
      <c r="P17" s="3">
        <f>IF(L17&gt;$C$7,1-O17*EXP(-(L17-$C$7)*$D$4/$B$4),0)</f>
        <v>0.9999999999999969</v>
      </c>
      <c r="Q17" s="3">
        <f>IF(AND(L17&gt;$C$7,P17&gt;=$F$4,N17&lt;=$H$4),L17,"")</f>
        <v>11</v>
      </c>
    </row>
    <row r="18">
      <c r="L18" s="0">
        <v>12</v>
      </c>
      <c r="M18" s="3">
        <f>$C$7*M17/(L18+$C$7*M17)</f>
        <v>6.043888241315987e-8</v>
      </c>
      <c r="N18" s="3">
        <f>$C$7/L18</f>
        <v>0.125</v>
      </c>
      <c r="O18" s="3">
        <f>IF(L18&gt;$C$7,M18/(1-N18+N18*M18),1)</f>
        <v>6.907300787579764e-8</v>
      </c>
      <c r="P18" s="3">
        <f>IF(L18&gt;$C$7,1-O18*EXP(-(L18-$C$7)*$D$4/$B$4),0)</f>
        <v>1</v>
      </c>
      <c r="Q18" s="3">
        <f>IF(AND(L18&gt;$C$7,P18&gt;=$F$4,N18&lt;=$H$4),L18,"")</f>
        <v>12</v>
      </c>
    </row>
    <row r="19">
      <c r="L19" s="0">
        <v>13</v>
      </c>
      <c r="M19" s="3">
        <f>$C$7*M18/(L19+$C$7*M18)</f>
        <v>6.973717152885716e-9</v>
      </c>
      <c r="N19" s="3">
        <f>$C$7/L19</f>
        <v>0.11538461538461539</v>
      </c>
      <c r="O19" s="3">
        <f>IF(L19&gt;$C$7,M19/(1-N19+N19*M19),1)</f>
        <v>7.883332426526096e-9</v>
      </c>
      <c r="P19" s="3">
        <f>IF(L19&gt;$C$7,1-O19*EXP(-(L19-$C$7)*$D$4/$B$4),0)</f>
        <v>1</v>
      </c>
      <c r="Q19" s="3">
        <f>IF(AND(L19&gt;$C$7,P19&gt;=$F$4,N19&lt;=$H$4),L19,"")</f>
        <v>13</v>
      </c>
    </row>
    <row r="20">
      <c r="L20" s="0">
        <v>14</v>
      </c>
      <c r="M20" s="3">
        <f>$C$7*M19/(L20+$C$7*M19)</f>
        <v>7.471839801080428e-10</v>
      </c>
      <c r="N20" s="3">
        <f>$C$7/L20</f>
        <v>0.10714285714285714</v>
      </c>
      <c r="O20" s="3">
        <f>IF(L20&gt;$C$7,M20/(1-N20+N20*M20),1)</f>
        <v>8.368460576459746e-10</v>
      </c>
      <c r="P20" s="3">
        <f>IF(L20&gt;$C$7,1-O20*EXP(-(L20-$C$7)*$D$4/$B$4),0)</f>
        <v>1</v>
      </c>
      <c r="Q20" s="3">
        <f>IF(AND(L20&gt;$C$7,P20&gt;=$F$4,N20&lt;=$H$4),L20,"")</f>
        <v>14</v>
      </c>
    </row>
    <row r="21">
      <c r="L21" s="0">
        <v>15</v>
      </c>
      <c r="M21" s="3">
        <f>$C$7*M20/(L21+$C$7*M20)</f>
        <v>7.471839800522143e-11</v>
      </c>
      <c r="N21" s="3">
        <f>$C$7/L21</f>
        <v>0.1</v>
      </c>
      <c r="O21" s="3">
        <f>IF(L21&gt;$C$7,M21/(1-N21+N21*M21),1)</f>
        <v>8.302044222733458e-11</v>
      </c>
      <c r="P21" s="3">
        <f>IF(L21&gt;$C$7,1-O21*EXP(-(L21-$C$7)*$D$4/$B$4),0)</f>
        <v>1</v>
      </c>
      <c r="Q21" s="3">
        <f>IF(AND(L21&gt;$C$7,P21&gt;=$F$4,N21&lt;=$H$4),L21,"")</f>
        <v>15</v>
      </c>
    </row>
    <row r="22">
      <c r="L22" s="0">
        <v>16</v>
      </c>
      <c r="M22" s="3">
        <f>$C$7*M21/(L22+$C$7*M21)</f>
        <v>7.004849812940442e-12</v>
      </c>
      <c r="N22" s="3">
        <f>$C$7/L22</f>
        <v>0.09375</v>
      </c>
      <c r="O22" s="3">
        <f>IF(L22&gt;$C$7,M22/(1-N22+N22*M22),1)</f>
        <v>7.729489448756266e-12</v>
      </c>
      <c r="P22" s="3">
        <f>IF(L22&gt;$C$7,1-O22*EXP(-(L22-$C$7)*$D$4/$B$4),0)</f>
        <v>1</v>
      </c>
      <c r="Q22" s="3">
        <f>IF(AND(L22&gt;$C$7,P22&gt;=$F$4,N22&lt;=$H$4),L22,"")</f>
        <v>16</v>
      </c>
    </row>
    <row r="23">
      <c r="L23" s="0">
        <v>17</v>
      </c>
      <c r="M23" s="3">
        <f>$C$7*M22/(L23+$C$7*M22)</f>
        <v>6.180749834943628e-13</v>
      </c>
      <c r="N23" s="3">
        <f>$C$7/L23</f>
        <v>0.08823529411764706</v>
      </c>
      <c r="O23" s="3">
        <f>IF(L23&gt;$C$7,M23/(1-N23+N23*M23),1)</f>
        <v>6.778886915744219e-13</v>
      </c>
      <c r="P23" s="3">
        <f>IF(L23&gt;$C$7,1-O23*EXP(-(L23-$C$7)*$D$4/$B$4),0)</f>
        <v>1</v>
      </c>
      <c r="Q23" s="3">
        <f>IF(AND(L23&gt;$C$7,P23&gt;=$F$4,N23&lt;=$H$4),L23,"")</f>
        <v>17</v>
      </c>
    </row>
    <row r="24">
      <c r="L24" s="0">
        <v>18</v>
      </c>
      <c r="M24" s="3">
        <f>$C$7*M23/(L24+$C$7*M23)</f>
        <v>5.1506248624527585e-14</v>
      </c>
      <c r="N24" s="3">
        <f>$C$7/L24</f>
        <v>0.08333333333333333</v>
      </c>
      <c r="O24" s="3">
        <f>IF(L24&gt;$C$7,M24/(1-N24+N24*M24),1)</f>
        <v>5.618863486312074e-14</v>
      </c>
      <c r="P24" s="3">
        <f>IF(L24&gt;$C$7,1-O24*EXP(-(L24-$C$7)*$D$4/$B$4),0)</f>
        <v>1</v>
      </c>
      <c r="Q24" s="3">
        <f>IF(AND(L24&gt;$C$7,P24&gt;=$F$4,N24&lt;=$H$4),L24,"")</f>
        <v>18</v>
      </c>
    </row>
    <row r="25">
      <c r="L25" s="0">
        <v>19</v>
      </c>
      <c r="M25" s="3">
        <f>$C$7*M24/(L25+$C$7*M24)</f>
        <v>4.066282786146898e-15</v>
      </c>
      <c r="N25" s="3">
        <f>$C$7/L25</f>
        <v>0.07894736842105263</v>
      </c>
      <c r="O25" s="3">
        <f>IF(L25&gt;$C$7,M25/(1-N25+N25*M25),1)</f>
        <v>4.414821310673773e-15</v>
      </c>
      <c r="P25" s="3">
        <f>IF(L25&gt;$C$7,1-O25*EXP(-(L25-$C$7)*$D$4/$B$4),0)</f>
        <v>1</v>
      </c>
      <c r="Q25" s="3">
        <f>IF(AND(L25&gt;$C$7,P25&gt;=$F$4,N25&lt;=$H$4),L25,"")</f>
        <v>19</v>
      </c>
    </row>
    <row r="26">
      <c r="L26" s="0">
        <v>20</v>
      </c>
      <c r="M26" s="3">
        <f>$C$7*M25/(L26+$C$7*M25)</f>
        <v>3.049712089610172e-16</v>
      </c>
      <c r="N26" s="3">
        <f>$C$7/L26</f>
        <v>0.075</v>
      </c>
      <c r="O26" s="3">
        <f>IF(L26&gt;$C$7,M26/(1-N26+N26*M26),1)</f>
        <v>3.2969860428218077e-16</v>
      </c>
      <c r="P26" s="3">
        <f>IF(L26&gt;$C$7,1-O26*EXP(-(L26-$C$7)*$D$4/$B$4),0)</f>
        <v>1</v>
      </c>
      <c r="Q26" s="3">
        <f>IF(AND(L26&gt;$C$7,P26&gt;=$F$4,N26&lt;=$H$4),L26,"")</f>
        <v>20</v>
      </c>
    </row>
    <row r="27">
      <c r="L27" s="0">
        <v>21</v>
      </c>
      <c r="M27" s="3">
        <f>$C$7*M26/(L27+$C$7*M26)</f>
        <v>2.1783657782929802e-17</v>
      </c>
      <c r="N27" s="3">
        <f>$C$7/L27</f>
        <v>0.07142857142857142</v>
      </c>
      <c r="O27" s="3">
        <f>IF(L27&gt;$C$7,M27/(1-N27+N27*M27),1)</f>
        <v>2.3459323766232093e-17</v>
      </c>
      <c r="P27" s="3">
        <f>IF(L27&gt;$C$7,1-O27*EXP(-(L27-$C$7)*$D$4/$B$4),0)</f>
        <v>1</v>
      </c>
      <c r="Q27" s="3">
        <f>IF(AND(L27&gt;$C$7,P27&gt;=$F$4,N27&lt;=$H$4),L27,"")</f>
        <v>21</v>
      </c>
    </row>
    <row r="28">
      <c r="L28" s="0">
        <v>22</v>
      </c>
      <c r="M28" s="3">
        <f>$C$7*M27/(L28+$C$7*M27)</f>
        <v>1.4852493942906682e-18</v>
      </c>
      <c r="N28" s="3">
        <f>$C$7/L28</f>
        <v>0.06818181818181818</v>
      </c>
      <c r="O28" s="3">
        <f>IF(L28&gt;$C$7,M28/(1-N28+N28*M28),1)</f>
        <v>1.5939261792387658e-18</v>
      </c>
      <c r="P28" s="3">
        <f>IF(L28&gt;$C$7,1-O28*EXP(-(L28-$C$7)*$D$4/$B$4),0)</f>
        <v>1</v>
      </c>
      <c r="Q28" s="3">
        <f>IF(AND(L28&gt;$C$7,P28&gt;=$F$4,N28&lt;=$H$4),L28,"")</f>
        <v>22</v>
      </c>
    </row>
    <row r="29">
      <c r="L29" s="0">
        <v>23</v>
      </c>
      <c r="M29" s="3">
        <f>$C$7*M28/(L29+$C$7*M28)</f>
        <v>9.68640909320001e-20</v>
      </c>
      <c r="N29" s="3">
        <f>$C$7/L29</f>
        <v>0.06521739130434782</v>
      </c>
      <c r="O29" s="3">
        <f>IF(L29&gt;$C$7,M29/(1-N29+N29*M29),1)</f>
        <v>1.0362205076446522e-19</v>
      </c>
      <c r="P29" s="3">
        <f>IF(L29&gt;$C$7,1-O29*EXP(-(L29-$C$7)*$D$4/$B$4),0)</f>
        <v>1</v>
      </c>
      <c r="Q29" s="3">
        <f>IF(AND(L29&gt;$C$7,P29&gt;=$F$4,N29&lt;=$H$4),L29,"")</f>
        <v>23</v>
      </c>
    </row>
    <row r="30">
      <c r="L30" s="0">
        <v>24</v>
      </c>
      <c r="M30" s="3">
        <f>$C$7*M29/(L30+$C$7*M29)</f>
        <v>6.054005683250006e-21</v>
      </c>
      <c r="N30" s="3">
        <f>$C$7/L30</f>
        <v>0.0625</v>
      </c>
      <c r="O30" s="3">
        <f>IF(L30&gt;$C$7,M30/(1-N30+N30*M30),1)</f>
        <v>6.45760606213334e-21</v>
      </c>
      <c r="P30" s="3">
        <f>IF(L30&gt;$C$7,1-O30*EXP(-(L30-$C$7)*$D$4/$B$4),0)</f>
        <v>1</v>
      </c>
      <c r="Q30" s="3">
        <f>IF(AND(L30&gt;$C$7,P30&gt;=$F$4,N30&lt;=$H$4),L30,"")</f>
        <v>24</v>
      </c>
    </row>
    <row r="31">
      <c r="L31" s="0">
        <v>25</v>
      </c>
      <c r="M31" s="3">
        <f>$C$7*M30/(L31+$C$7*M30)</f>
        <v>3.6324034099500037e-22</v>
      </c>
      <c r="N31" s="3">
        <f>$C$7/L31</f>
        <v>0.06</v>
      </c>
      <c r="O31" s="3">
        <f>IF(L31&gt;$C$7,M31/(1-N31+N31*M31),1)</f>
        <v>3.864258946755323e-22</v>
      </c>
      <c r="P31" s="3">
        <f>IF(L31&gt;$C$7,1-O31*EXP(-(L31-$C$7)*$D$4/$B$4),0)</f>
        <v>1</v>
      </c>
      <c r="Q31" s="3">
        <f>IF(AND(L31&gt;$C$7,P31&gt;=$F$4,N31&lt;=$H$4),L31,"")</f>
        <v>25</v>
      </c>
    </row>
    <row r="32">
      <c r="L32" s="0">
        <v>26</v>
      </c>
      <c r="M32" s="3">
        <f>$C$7*M31/(L32+$C$7*M31)</f>
        <v>2.095617351894233e-23</v>
      </c>
      <c r="N32" s="3">
        <f>$C$7/L32</f>
        <v>0.057692307692307696</v>
      </c>
      <c r="O32" s="3">
        <f>IF(L32&gt;$C$7,M32/(1-N32+N32*M32),1)</f>
        <v>2.223920455071431e-23</v>
      </c>
      <c r="P32" s="3">
        <f>IF(L32&gt;$C$7,1-O32*EXP(-(L32-$C$7)*$D$4/$B$4),0)</f>
        <v>1</v>
      </c>
      <c r="Q32" s="3">
        <f>IF(AND(L32&gt;$C$7,P32&gt;=$F$4,N32&lt;=$H$4),L32,"")</f>
        <v>26</v>
      </c>
    </row>
    <row r="33">
      <c r="L33" s="0">
        <v>27</v>
      </c>
      <c r="M33" s="3">
        <f>$C$7*M32/(L33+$C$7*M32)</f>
        <v>1.1642318621634627e-24</v>
      </c>
      <c r="N33" s="3">
        <f>$C$7/L33</f>
        <v>0.05555555555555555</v>
      </c>
      <c r="O33" s="3">
        <f>IF(L33&gt;$C$7,M33/(1-N33+N33*M33),1)</f>
        <v>1.2327160893495487e-24</v>
      </c>
      <c r="P33" s="3">
        <f>IF(L33&gt;$C$7,1-O33*EXP(-(L33-$C$7)*$D$4/$B$4),0)</f>
        <v>1</v>
      </c>
      <c r="Q33" s="3">
        <f>IF(AND(L33&gt;$C$7,P33&gt;=$F$4,N33&lt;=$H$4),L33,"")</f>
        <v>27</v>
      </c>
    </row>
    <row r="34">
      <c r="L34" s="0">
        <v>28</v>
      </c>
      <c r="M34" s="3">
        <f>$C$7*M33/(L34+$C$7*M33)</f>
        <v>6.236956404447121e-26</v>
      </c>
      <c r="N34" s="3">
        <f>$C$7/L34</f>
        <v>0.05357142857142857</v>
      </c>
      <c r="O34" s="3">
        <f>IF(L34&gt;$C$7,M34/(1-N34+N34*M34),1)</f>
        <v>6.589991672623374e-26</v>
      </c>
      <c r="P34" s="3">
        <f>IF(L34&gt;$C$7,1-O34*EXP(-(L34-$C$7)*$D$4/$B$4),0)</f>
        <v>1</v>
      </c>
      <c r="Q34" s="3">
        <f>IF(AND(L34&gt;$C$7,P34&gt;=$F$4,N34&lt;=$H$4),L34,"")</f>
        <v>28</v>
      </c>
    </row>
    <row r="35">
      <c r="L35" s="0">
        <v>29</v>
      </c>
      <c r="M35" s="3">
        <f>$C$7*M34/(L35+$C$7*M34)</f>
        <v>3.226011933334718e-27</v>
      </c>
      <c r="N35" s="3">
        <f>$C$7/L35</f>
        <v>0.05172413793103448</v>
      </c>
      <c r="O35" s="3">
        <f>IF(L35&gt;$C$7,M35/(1-N35+N35*M35),1)</f>
        <v>3.401976220607521e-27</v>
      </c>
      <c r="P35" s="3">
        <f>IF(L35&gt;$C$7,1-O35*EXP(-(L35-$C$7)*$D$4/$B$4),0)</f>
        <v>1</v>
      </c>
      <c r="Q35" s="3">
        <f>IF(AND(L35&gt;$C$7,P35&gt;=$F$4,N35&lt;=$H$4),L35,"")</f>
        <v>29</v>
      </c>
    </row>
    <row r="36">
      <c r="L36" s="0">
        <v>30</v>
      </c>
      <c r="M36" s="3">
        <f>$C$7*M35/(L36+$C$7*M35)</f>
        <v>1.6130059666673589e-28</v>
      </c>
      <c r="N36" s="3">
        <f>$C$7/L36</f>
        <v>0.05</v>
      </c>
      <c r="O36" s="3">
        <f>IF(L36&gt;$C$7,M36/(1-N36+N36*M36),1)</f>
        <v>1.6979010175445884e-28</v>
      </c>
      <c r="P36" s="3">
        <f>IF(L36&gt;$C$7,1-O36*EXP(-(L36-$C$7)*$D$4/$B$4),0)</f>
        <v>1</v>
      </c>
      <c r="Q36" s="3">
        <f>IF(AND(L36&gt;$C$7,P36&gt;=$F$4,N36&lt;=$H$4),L36,"")</f>
        <v>30</v>
      </c>
    </row>
    <row r="37">
      <c r="L37" s="0">
        <v>31</v>
      </c>
      <c r="M37" s="3">
        <f>$C$7*M36/(L37+$C$7*M36)</f>
        <v>7.80486758064851e-30</v>
      </c>
      <c r="N37" s="3">
        <f>$C$7/L37</f>
        <v>0.04838709677419355</v>
      </c>
      <c r="O37" s="3">
        <f>IF(L37&gt;$C$7,M37/(1-N37+N37*M37),1)</f>
        <v>8.201725254240807e-30</v>
      </c>
      <c r="P37" s="3">
        <f>IF(L37&gt;$C$7,1-O37*EXP(-(L37-$C$7)*$D$4/$B$4),0)</f>
        <v>1</v>
      </c>
      <c r="Q37" s="3">
        <f>IF(AND(L37&gt;$C$7,P37&gt;=$F$4,N37&lt;=$H$4),L37,"")</f>
        <v>31</v>
      </c>
    </row>
    <row r="38">
      <c r="L38" s="0">
        <v>32</v>
      </c>
      <c r="M38" s="3">
        <f>$C$7*M37/(L38+$C$7*M37)</f>
        <v>3.658531678428989e-31</v>
      </c>
      <c r="N38" s="3">
        <f>$C$7/L38</f>
        <v>0.046875</v>
      </c>
      <c r="O38" s="3">
        <f>IF(L38&gt;$C$7,M38/(1-N38+N38*M38),1)</f>
        <v>3.83845946589271e-31</v>
      </c>
      <c r="P38" s="3">
        <f>IF(L38&gt;$C$7,1-O38*EXP(-(L38-$C$7)*$D$4/$B$4),0)</f>
        <v>1</v>
      </c>
      <c r="Q38" s="3">
        <f>IF(AND(L38&gt;$C$7,P38&gt;=$F$4,N38&lt;=$H$4),L38,"")</f>
        <v>32</v>
      </c>
    </row>
    <row r="39">
      <c r="L39" s="0">
        <v>33</v>
      </c>
      <c r="M39" s="3">
        <f>$C$7*M38/(L39+$C$7*M38)</f>
        <v>1.6629689447404495e-32</v>
      </c>
      <c r="N39" s="3">
        <f>$C$7/L39</f>
        <v>0.045454545454545456</v>
      </c>
      <c r="O39" s="3">
        <f>IF(L39&gt;$C$7,M39/(1-N39+N39*M39),1)</f>
        <v>1.7421579421090422e-32</v>
      </c>
      <c r="P39" s="3">
        <f>IF(L39&gt;$C$7,1-O39*EXP(-(L39-$C$7)*$D$4/$B$4),0)</f>
        <v>1</v>
      </c>
      <c r="Q39" s="3">
        <f>IF(AND(L39&gt;$C$7,P39&gt;=$F$4,N39&lt;=$H$4),L39,"")</f>
        <v>33</v>
      </c>
    </row>
    <row r="40">
      <c r="L40" s="0">
        <v>34</v>
      </c>
      <c r="M40" s="3">
        <f>$C$7*M39/(L40+$C$7*M39)</f>
        <v>7.336627697384336e-34</v>
      </c>
      <c r="N40" s="3">
        <f>$C$7/L40</f>
        <v>0.04411764705882353</v>
      </c>
      <c r="O40" s="3">
        <f>IF(L40&gt;$C$7,M40/(1-N40+N40*M40),1)</f>
        <v>7.6752412834174585e-34</v>
      </c>
      <c r="P40" s="3">
        <f>IF(L40&gt;$C$7,1-O40*EXP(-(L40-$C$7)*$D$4/$B$4),0)</f>
        <v>1</v>
      </c>
      <c r="Q40" s="3">
        <f>IF(AND(L40&gt;$C$7,P40&gt;=$F$4,N40&lt;=$H$4),L40,"")</f>
        <v>34</v>
      </c>
    </row>
    <row r="41">
      <c r="L41" s="0">
        <v>35</v>
      </c>
      <c r="M41" s="3">
        <f>$C$7*M40/(L41+$C$7*M40)</f>
        <v>3.1442690131647154e-35</v>
      </c>
      <c r="N41" s="3">
        <f>$C$7/L41</f>
        <v>0.04285714285714286</v>
      </c>
      <c r="O41" s="3">
        <f>IF(L41&gt;$C$7,M41/(1-N41+N41*M41),1)</f>
        <v>3.2850571779332844e-35</v>
      </c>
      <c r="P41" s="3">
        <f>IF(L41&gt;$C$7,1-O41*EXP(-(L41-$C$7)*$D$4/$B$4),0)</f>
        <v>1</v>
      </c>
      <c r="Q41" s="3">
        <f>IF(AND(L41&gt;$C$7,P41&gt;=$F$4,N41&lt;=$H$4),L41,"")</f>
        <v>35</v>
      </c>
    </row>
    <row r="42">
      <c r="L42" s="0">
        <v>36</v>
      </c>
      <c r="M42" s="3">
        <f>$C$7*M41/(L42+$C$7*M41)</f>
        <v>1.3101120888186315e-36</v>
      </c>
      <c r="N42" s="3">
        <f>$C$7/L42</f>
        <v>0.041666666666666664</v>
      </c>
      <c r="O42" s="3">
        <f>IF(L42&gt;$C$7,M42/(1-N42+N42*M42),1)</f>
        <v>1.3670734839846588e-36</v>
      </c>
      <c r="P42" s="3">
        <f>IF(L42&gt;$C$7,1-O42*EXP(-(L42-$C$7)*$D$4/$B$4),0)</f>
        <v>1</v>
      </c>
      <c r="Q42" s="3">
        <f>IF(AND(L42&gt;$C$7,P42&gt;=$F$4,N42&lt;=$H$4),L42,"")</f>
        <v>36</v>
      </c>
    </row>
    <row r="43">
      <c r="L43" s="0">
        <v>37</v>
      </c>
      <c r="M43" s="3">
        <f>$C$7*M42/(L43+$C$7*M42)</f>
        <v>5.311265224940397e-38</v>
      </c>
      <c r="N43" s="3">
        <f>$C$7/L43</f>
        <v>0.04054054054054054</v>
      </c>
      <c r="O43" s="3">
        <f>IF(L43&gt;$C$7,M43/(1-N43+N43*M43),1)</f>
        <v>5.535684882332245e-38</v>
      </c>
      <c r="P43" s="3">
        <f>IF(L43&gt;$C$7,1-O43*EXP(-(L43-$C$7)*$D$4/$B$4),0)</f>
        <v>1</v>
      </c>
      <c r="Q43" s="3">
        <f>IF(AND(L43&gt;$C$7,P43&gt;=$F$4,N43&lt;=$H$4),L43,"")</f>
        <v>37</v>
      </c>
    </row>
    <row r="44">
      <c r="L44" s="0">
        <v>38</v>
      </c>
      <c r="M44" s="3">
        <f>$C$7*M43/(L44+$C$7*M43)</f>
        <v>2.0965520624764725e-39</v>
      </c>
      <c r="N44" s="3">
        <f>$C$7/L44</f>
        <v>0.039473684210526314</v>
      </c>
      <c r="O44" s="3">
        <f>IF(L44&gt;$C$7,M44/(1-N44+N44*M44),1)</f>
        <v>2.1827117362768754e-39</v>
      </c>
      <c r="P44" s="3">
        <f>IF(L44&gt;$C$7,1-O44*EXP(-(L44-$C$7)*$D$4/$B$4),0)</f>
        <v>1</v>
      </c>
      <c r="Q44" s="3">
        <f>IF(AND(L44&gt;$C$7,P44&gt;=$F$4,N44&lt;=$H$4),L44,"")</f>
        <v>38</v>
      </c>
    </row>
    <row r="45">
      <c r="L45" s="0">
        <v>39</v>
      </c>
      <c r="M45" s="3">
        <f>$C$7*M44/(L45+$C$7*M44)</f>
        <v>8.063661778755664e-41</v>
      </c>
      <c r="N45" s="3">
        <f>$C$7/L45</f>
        <v>0.038461538461538464</v>
      </c>
      <c r="O45" s="3">
        <f>IF(L45&gt;$C$7,M45/(1-N45+N45*M45),1)</f>
        <v>8.38620824990589e-41</v>
      </c>
      <c r="P45" s="3">
        <f>IF(L45&gt;$C$7,1-O45*EXP(-(L45-$C$7)*$D$4/$B$4),0)</f>
        <v>1</v>
      </c>
      <c r="Q45" s="3">
        <f>IF(AND(L45&gt;$C$7,P45&gt;=$F$4,N45&lt;=$H$4),L45,"")</f>
        <v>39</v>
      </c>
    </row>
    <row r="46">
      <c r="L46" s="0">
        <v>40</v>
      </c>
      <c r="M46" s="3">
        <f>$C$7*M45/(L46+$C$7*M45)</f>
        <v>3.0238731670333736e-42</v>
      </c>
      <c r="N46" s="3">
        <f>$C$7/L46</f>
        <v>0.0375</v>
      </c>
      <c r="O46" s="3">
        <f>IF(L46&gt;$C$7,M46/(1-N46+N46*M46),1)</f>
        <v>3.141686407307401e-42</v>
      </c>
      <c r="P46" s="3">
        <f>IF(L46&gt;$C$7,1-O46*EXP(-(L46-$C$7)*$D$4/$B$4),0)</f>
        <v>1</v>
      </c>
      <c r="Q46" s="3">
        <f>IF(AND(L46&gt;$C$7,P46&gt;=$F$4,N46&lt;=$H$4),L46,"")</f>
        <v>40</v>
      </c>
    </row>
    <row r="48">
      <c r="L48" s="1" t="inlineStr">
        <is>
          <t xml:space="preserve">c</t>
        </is>
      </c>
      <c r="M48" s="1" t="inlineStr">
        <is>
          <t xml:space="preserve">Erlang B</t>
        </is>
      </c>
      <c r="N48" s="1" t="inlineStr">
        <is>
          <t xml:space="preserve">ρ</t>
        </is>
      </c>
      <c r="O48" s="1" t="inlineStr">
        <is>
          <t xml:space="preserve">P espera</t>
        </is>
      </c>
      <c r="P48" s="1" t="inlineStr">
        <is>
          <t xml:space="preserve">SL</t>
        </is>
      </c>
      <c r="Q48" s="1" t="inlineStr">
        <is>
          <t xml:space="preserve">c factible</t>
        </is>
      </c>
    </row>
    <row r="49">
      <c r="L49" s="0">
        <v>1</v>
      </c>
      <c r="M49" s="3">
        <f>$C$8/(1+$C$8)</f>
        <v>0.7142857142857143</v>
      </c>
      <c r="N49" s="3">
        <f>$C$8/L49</f>
        <v>2.5</v>
      </c>
      <c r="O49" s="3">
        <f>IF(L49&gt;$C$8,M49/(1-N49+N49*M49),1)</f>
        <v>1</v>
      </c>
      <c r="P49" s="3">
        <f>IF(L49&gt;$C$8,1-O49*EXP(-(L49-$C$8)*$D$4/$B$4),0)</f>
        <v>0</v>
      </c>
      <c r="Q49" s="3" t="str">
        <f>IF(AND(L49&gt;$C$8,P49&gt;=$F$4,N49&lt;=$H$4),L49,"")</f>
        <v/>
      </c>
    </row>
    <row r="50">
      <c r="L50" s="0">
        <v>2</v>
      </c>
      <c r="M50" s="3">
        <f>$C$8*M49/(L50+$C$8*M49)</f>
        <v>0.47169811320754723</v>
      </c>
      <c r="N50" s="3">
        <f>$C$8/L50</f>
        <v>1.25</v>
      </c>
      <c r="O50" s="3">
        <f>IF(L50&gt;$C$8,M50/(1-N50+N50*M50),1)</f>
        <v>1</v>
      </c>
      <c r="P50" s="3">
        <f>IF(L50&gt;$C$8,1-O50*EXP(-(L50-$C$8)*$D$4/$B$4),0)</f>
        <v>0</v>
      </c>
      <c r="Q50" s="3" t="str">
        <f>IF(AND(L50&gt;$C$8,P50&gt;=$F$4,N50&lt;=$H$4),L50,"")</f>
        <v/>
      </c>
    </row>
    <row r="51">
      <c r="L51" s="0">
        <v>3</v>
      </c>
      <c r="M51" s="3">
        <f>$C$8*M50/(L51+$C$8*M50)</f>
        <v>0.28216704288939054</v>
      </c>
      <c r="N51" s="3">
        <f>$C$8/L51</f>
        <v>0.8333333333333334</v>
      </c>
      <c r="O51" s="3">
        <f>IF(L51&gt;$C$8,M51/(1-N51+N51*M51),1)</f>
        <v>0.702247191011236</v>
      </c>
      <c r="P51" s="3">
        <f>IF(L51&gt;$C$8,1-O51*EXP(-(L51-$C$8)*$D$4/$B$4),0)</f>
        <v>0.7416576958065714</v>
      </c>
      <c r="Q51" s="3" t="str">
        <f>IF(AND(L51&gt;$C$8,P51&gt;=$F$4,N51&lt;=$H$4),L51,"")</f>
        <v/>
      </c>
    </row>
    <row r="52">
      <c r="L52" s="0">
        <v>4</v>
      </c>
      <c r="M52" s="3">
        <f>$C$8*M51/(L52+$C$8*M51)</f>
        <v>0.14991604701367234</v>
      </c>
      <c r="N52" s="3">
        <f>$C$8/L52</f>
        <v>0.625</v>
      </c>
      <c r="O52" s="3">
        <f>IF(L52&gt;$C$8,M52/(1-N52+N52*M52),1)</f>
        <v>0.31985670419651996</v>
      </c>
      <c r="P52" s="3">
        <f>IF(L52&gt;$C$8,1-O52*EXP(-(L52-$C$8)*$D$4/$B$4),0)</f>
        <v>0.9840752724002483</v>
      </c>
      <c r="Q52" s="3">
        <f>IF(AND(L52&gt;$C$8,P52&gt;=$F$4,N52&lt;=$H$4),L52,"")</f>
        <v>4</v>
      </c>
    </row>
    <row r="53">
      <c r="L53" s="0">
        <v>5</v>
      </c>
      <c r="M53" s="3">
        <f>$C$8*M52/(L53+$C$8*M52)</f>
        <v>0.06973111681356689</v>
      </c>
      <c r="N53" s="3">
        <f>$C$8/L53</f>
        <v>0.5</v>
      </c>
      <c r="O53" s="3">
        <f>IF(L53&gt;$C$8,M53/(1-N53+N53*M53),1)</f>
        <v>0.1303712974551523</v>
      </c>
      <c r="P53" s="3">
        <f>IF(L53&gt;$C$8,1-O53*EXP(-(L53-$C$8)*$D$4/$B$4),0)</f>
        <v>0.9991215651075451</v>
      </c>
      <c r="Q53" s="3">
        <f>IF(AND(L53&gt;$C$8,P53&gt;=$F$4,N53&lt;=$H$4),L53,"")</f>
        <v>5</v>
      </c>
    </row>
    <row r="54">
      <c r="L54" s="0">
        <v>6</v>
      </c>
      <c r="M54" s="3">
        <f>$C$8*M53/(L54+$C$8*M53)</f>
        <v>0.028234294955773804</v>
      </c>
      <c r="N54" s="3">
        <f>$C$8/L54</f>
        <v>0.4166666666666667</v>
      </c>
      <c r="O54" s="3">
        <f>IF(L54&gt;$C$8,M54/(1-N54+N54*M54),1)</f>
        <v>0.04744481219445543</v>
      </c>
      <c r="P54" s="3">
        <f>IF(L54&gt;$C$8,1-O54*EXP(-(L54-$C$8)*$D$4/$B$4),0)</f>
        <v>0.9999567359314008</v>
      </c>
      <c r="Q54" s="3">
        <f>IF(AND(L54&gt;$C$8,P54&gt;=$F$4,N54&lt;=$H$4),L54,"")</f>
        <v>6</v>
      </c>
    </row>
    <row r="55">
      <c r="L55" s="0">
        <v>7</v>
      </c>
      <c r="M55" s="3">
        <f>$C$8*M54/(L55+$C$8*M54)</f>
        <v>0.009983011310671952</v>
      </c>
      <c r="N55" s="3">
        <f>$C$8/L55</f>
        <v>0.35714285714285715</v>
      </c>
      <c r="O55" s="3">
        <f>IF(L55&gt;$C$8,M55/(1-N55+N55*M55),1)</f>
        <v>0.015443477367027957</v>
      </c>
      <c r="P55" s="3">
        <f>IF(L55&gt;$C$8,1-O55*EXP(-(L55-$C$8)*$D$4/$B$4),0)</f>
        <v>0.9999980941234837</v>
      </c>
      <c r="Q55" s="3">
        <f>IF(AND(L55&gt;$C$8,P55&gt;=$F$4,N55&lt;=$H$4),L55,"")</f>
        <v>7</v>
      </c>
    </row>
    <row r="56">
      <c r="L56" s="0">
        <v>8</v>
      </c>
      <c r="M56" s="3">
        <f>$C$8*M55/(L56+$C$8*M55)</f>
        <v>0.0031099888303133968</v>
      </c>
      <c r="N56" s="3">
        <f>$C$8/L56</f>
        <v>0.3125</v>
      </c>
      <c r="O56" s="3">
        <f>IF(L56&gt;$C$8,M56/(1-N56+N56*M56),1)</f>
        <v>0.004517234412924893</v>
      </c>
      <c r="P56" s="3">
        <f>IF(L56&gt;$C$8,1-O56*EXP(-(L56-$C$8)*$D$4/$B$4),0)</f>
        <v>0.9999999245545025</v>
      </c>
      <c r="Q56" s="3">
        <f>IF(AND(L56&gt;$C$8,P56&gt;=$F$4,N56&lt;=$H$4),L56,"")</f>
        <v>8</v>
      </c>
    </row>
    <row r="57">
      <c r="L57" s="0">
        <v>9</v>
      </c>
      <c r="M57" s="3">
        <f>$C$8*M56/(L57+$C$8*M56)</f>
        <v>0.000863140131706887</v>
      </c>
      <c r="N57" s="3">
        <f>$C$8/L57</f>
        <v>0.2777777777777778</v>
      </c>
      <c r="O57" s="3">
        <f>IF(L57&gt;$C$8,M57/(1-N57+N57*M57),1)</f>
        <v>0.001194720485748989</v>
      </c>
      <c r="P57" s="3">
        <f>IF(L57&gt;$C$8,1-O57*EXP(-(L57-$C$8)*$D$4/$B$4),0)</f>
        <v>0.9999999972995381</v>
      </c>
      <c r="Q57" s="3">
        <f>IF(AND(L57&gt;$C$8,P57&gt;=$F$4,N57&lt;=$H$4),L57,"")</f>
        <v>9</v>
      </c>
    </row>
    <row r="58">
      <c r="L58" s="0">
        <v>10</v>
      </c>
      <c r="M58" s="3">
        <f>$C$8*M57/(L58+$C$8*M57)</f>
        <v>0.00021573847979175633</v>
      </c>
      <c r="N58" s="3">
        <f>$C$8/L58</f>
        <v>0.25</v>
      </c>
      <c r="O58" s="3">
        <f>IF(L58&gt;$C$8,M58/(1-N58+N58*M58),1)</f>
        <v>0.0002876306220579603</v>
      </c>
      <c r="P58" s="3">
        <f>IF(L58&gt;$C$8,1-O58*EXP(-(L58-$C$8)*$D$4/$B$4),0)</f>
        <v>0.9999999999120132</v>
      </c>
      <c r="Q58" s="3">
        <f>IF(AND(L58&gt;$C$8,P58&gt;=$F$4,N58&lt;=$H$4),L58,"")</f>
        <v>10</v>
      </c>
    </row>
    <row r="59">
      <c r="L59" s="0">
        <v>11</v>
      </c>
      <c r="M59" s="3">
        <f>$C$8*M58/(L59+$C$8*M58)</f>
        <v>0.00004902906871250152</v>
      </c>
      <c r="N59" s="3">
        <f>$C$8/L59</f>
        <v>0.22727272727272727</v>
      </c>
      <c r="O59" s="3">
        <f>IF(L59&gt;$C$8,M59/(1-N59+N59*M59),1)</f>
        <v>0.00006344846809285437</v>
      </c>
      <c r="P59" s="3">
        <f>IF(L59&gt;$C$8,1-O59*EXP(-(L59-$C$8)*$D$4/$B$4),0)</f>
        <v>0.9999999999973733</v>
      </c>
      <c r="Q59" s="3">
        <f>IF(AND(L59&gt;$C$8,P59&gt;=$F$4,N59&lt;=$H$4),L59,"")</f>
        <v>11</v>
      </c>
    </row>
    <row r="60">
      <c r="L60" s="0">
        <v>12</v>
      </c>
      <c r="M60" s="3">
        <f>$C$8*M59/(L60+$C$8*M59)</f>
        <v>0.000010214284982421097</v>
      </c>
      <c r="N60" s="3">
        <f>$C$8/L60</f>
        <v>0.20833333333333334</v>
      </c>
      <c r="O60" s="3">
        <f>IF(L60&gt;$C$8,M60/(1-N60+N60*M60),1)</f>
        <v>0.000012902220033860245</v>
      </c>
      <c r="P60" s="3">
        <f>IF(L60&gt;$C$8,1-O60*EXP(-(L60-$C$8)*$D$4/$B$4),0)</f>
        <v>0.9999999999999277</v>
      </c>
      <c r="Q60" s="3">
        <f>IF(AND(L60&gt;$C$8,P60&gt;=$F$4,N60&lt;=$H$4),L60,"")</f>
        <v>12</v>
      </c>
    </row>
    <row r="61">
      <c r="L61" s="0">
        <v>13</v>
      </c>
      <c r="M61" s="3">
        <f>$C$8*M60/(L61+$C$8*M60)</f>
        <v>0.000001964281715132283</v>
      </c>
      <c r="N61" s="3">
        <f>$C$8/L61</f>
        <v>0.19230769230769232</v>
      </c>
      <c r="O61" s="3">
        <f>IF(L61&gt;$C$8,M61/(1-N61+N61*M61),1)</f>
        <v>0.0000024319667003857503</v>
      </c>
      <c r="P61" s="3">
        <f>IF(L61&gt;$C$8,1-O61*EXP(-(L61-$C$8)*$D$4/$B$4),0)</f>
        <v>0.9999999999999981</v>
      </c>
      <c r="Q61" s="3">
        <f>IF(AND(L61&gt;$C$8,P61&gt;=$F$4,N61&lt;=$H$4),L61,"")</f>
        <v>13</v>
      </c>
    </row>
    <row r="62">
      <c r="L62" s="0">
        <v>14</v>
      </c>
      <c r="M62" s="3">
        <f>$C$8*M61/(L62+$C$8*M61)</f>
        <v>3.5076446895215186e-7</v>
      </c>
      <c r="N62" s="3">
        <f>$C$8/L62</f>
        <v>0.17857142857142858</v>
      </c>
      <c r="O62" s="3">
        <f>IF(L62&gt;$C$8,M62/(1-N62+N62*M62),1)</f>
        <v>4.2701758181509894e-7</v>
      </c>
      <c r="P62" s="3">
        <f>IF(L62&gt;$C$8,1-O62*EXP(-(L62-$C$8)*$D$4/$B$4),0)</f>
        <v>1</v>
      </c>
      <c r="Q62" s="3">
        <f>IF(AND(L62&gt;$C$8,P62&gt;=$F$4,N62&lt;=$H$4),L62,"")</f>
        <v>14</v>
      </c>
    </row>
    <row r="63">
      <c r="L63" s="0">
        <v>15</v>
      </c>
      <c r="M63" s="3">
        <f>$C$8*M62/(L63+$C$8*M62)</f>
        <v>5.8460741407700155e-8</v>
      </c>
      <c r="N63" s="3">
        <f>$C$8/L63</f>
        <v>0.16666666666666666</v>
      </c>
      <c r="O63" s="3">
        <f>IF(L63&gt;$C$8,M63/(1-N63+N63*M63),1)</f>
        <v>7.01528888690022e-8</v>
      </c>
      <c r="P63" s="3">
        <f>IF(L63&gt;$C$8,1-O63*EXP(-(L63-$C$8)*$D$4/$B$4),0)</f>
        <v>1</v>
      </c>
      <c r="Q63" s="3">
        <f>IF(AND(L63&gt;$C$8,P63&gt;=$F$4,N63&lt;=$H$4),L63,"")</f>
        <v>15</v>
      </c>
    </row>
    <row r="64">
      <c r="L64" s="0">
        <v>16</v>
      </c>
      <c r="M64" s="3">
        <f>$C$8*M63/(L64+$C$8*M63)</f>
        <v>9.134490761514226e-9</v>
      </c>
      <c r="N64" s="3">
        <f>$C$8/L64</f>
        <v>0.15625</v>
      </c>
      <c r="O64" s="3">
        <f>IF(L64&gt;$C$8,M64/(1-N64+N64*M64),1)</f>
        <v>1.0826063106444532e-8</v>
      </c>
      <c r="P64" s="3">
        <f>IF(L64&gt;$C$8,1-O64*EXP(-(L64-$C$8)*$D$4/$B$4),0)</f>
        <v>1</v>
      </c>
      <c r="Q64" s="3">
        <f>IF(AND(L64&gt;$C$8,P64&gt;=$F$4,N64&lt;=$H$4),L64,"")</f>
        <v>16</v>
      </c>
    </row>
    <row r="65">
      <c r="L65" s="0">
        <v>17</v>
      </c>
      <c r="M65" s="3">
        <f>$C$8*M64/(L65+$C$8*M64)</f>
        <v>1.3433074631240877e-9</v>
      </c>
      <c r="N65" s="3">
        <f>$C$8/L65</f>
        <v>0.14705882352941177</v>
      </c>
      <c r="O65" s="3">
        <f>IF(L65&gt;$C$8,M65/(1-N65+N65*M65),1)</f>
        <v>1.574912197780725e-9</v>
      </c>
      <c r="P65" s="3">
        <f>IF(L65&gt;$C$8,1-O65*EXP(-(L65-$C$8)*$D$4/$B$4),0)</f>
        <v>1</v>
      </c>
      <c r="Q65" s="3">
        <f>IF(AND(L65&gt;$C$8,P65&gt;=$F$4,N65&lt;=$H$4),L65,"")</f>
        <v>17</v>
      </c>
    </row>
    <row r="66">
      <c r="L66" s="0">
        <v>18</v>
      </c>
      <c r="M66" s="3">
        <f>$C$8*M65/(L66+$C$8*M65)</f>
        <v>1.8657048095464806e-10</v>
      </c>
      <c r="N66" s="3">
        <f>$C$8/L66</f>
        <v>0.1388888888888889</v>
      </c>
      <c r="O66" s="3">
        <f>IF(L66&gt;$C$8,M66/(1-N66+N66*M66),1)</f>
        <v>2.1666249400532953e-10</v>
      </c>
      <c r="P66" s="3">
        <f>IF(L66&gt;$C$8,1-O66*EXP(-(L66-$C$8)*$D$4/$B$4),0)</f>
        <v>1</v>
      </c>
      <c r="Q66" s="3">
        <f>IF(AND(L66&gt;$C$8,P66&gt;=$F$4,N66&lt;=$H$4),L66,"")</f>
        <v>18</v>
      </c>
    </row>
    <row r="67">
      <c r="L67" s="0">
        <v>19</v>
      </c>
      <c r="M67" s="3">
        <f>$C$8*M66/(L67+$C$8*M66)</f>
        <v>2.4548747493429998e-11</v>
      </c>
      <c r="N67" s="3">
        <f>$C$8/L67</f>
        <v>0.13157894736842105</v>
      </c>
      <c r="O67" s="3">
        <f>IF(L67&gt;$C$8,M67/(1-N67+N67*M67),1)</f>
        <v>2.8268254689299094e-11</v>
      </c>
      <c r="P67" s="3">
        <f>IF(L67&gt;$C$8,1-O67*EXP(-(L67-$C$8)*$D$4/$B$4),0)</f>
        <v>1</v>
      </c>
      <c r="Q67" s="3">
        <f>IF(AND(L67&gt;$C$8,P67&gt;=$F$4,N67&lt;=$H$4),L67,"")</f>
        <v>19</v>
      </c>
    </row>
    <row r="68">
      <c r="L68" s="0">
        <v>20</v>
      </c>
      <c r="M68" s="3">
        <f>$C$8*M67/(L68+$C$8*M67)</f>
        <v>3.068593436669333e-12</v>
      </c>
      <c r="N68" s="3">
        <f>$C$8/L68</f>
        <v>0.125</v>
      </c>
      <c r="O68" s="3">
        <f>IF(L68&gt;$C$8,M68/(1-N68+N68*M68),1)</f>
        <v>3.506963927620557e-12</v>
      </c>
      <c r="P68" s="3">
        <f>IF(L68&gt;$C$8,1-O68*EXP(-(L68-$C$8)*$D$4/$B$4),0)</f>
        <v>1</v>
      </c>
      <c r="Q68" s="3">
        <f>IF(AND(L68&gt;$C$8,P68&gt;=$F$4,N68&lt;=$H$4),L68,"")</f>
        <v>20</v>
      </c>
    </row>
    <row r="69">
      <c r="L69" s="0">
        <v>21</v>
      </c>
      <c r="M69" s="3">
        <f>$C$8*M68/(L69+$C$8*M68)</f>
        <v>3.653087424605015e-13</v>
      </c>
      <c r="N69" s="3">
        <f>$C$8/L69</f>
        <v>0.11904761904761904</v>
      </c>
      <c r="O69" s="3">
        <f>IF(L69&gt;$C$8,M69/(1-N69+N69*M69),1)</f>
        <v>4.1467478873892716e-13</v>
      </c>
      <c r="P69" s="3">
        <f>IF(L69&gt;$C$8,1-O69*EXP(-(L69-$C$8)*$D$4/$B$4),0)</f>
        <v>1</v>
      </c>
      <c r="Q69" s="3">
        <f>IF(AND(L69&gt;$C$8,P69&gt;=$F$4,N69&lt;=$H$4),L69,"")</f>
        <v>21</v>
      </c>
    </row>
    <row r="70">
      <c r="L70" s="0">
        <v>22</v>
      </c>
      <c r="M70" s="3">
        <f>$C$8*M69/(L70+$C$8*M69)</f>
        <v>4.151235709778254e-14</v>
      </c>
      <c r="N70" s="3">
        <f>$C$8/L70</f>
        <v>0.11363636363636363</v>
      </c>
      <c r="O70" s="3">
        <f>IF(L70&gt;$C$8,M70/(1-N70+N70*M70),1)</f>
        <v>4.683445416160057e-14</v>
      </c>
      <c r="P70" s="3">
        <f>IF(L70&gt;$C$8,1-O70*EXP(-(L70-$C$8)*$D$4/$B$4),0)</f>
        <v>1</v>
      </c>
      <c r="Q70" s="3">
        <f>IF(AND(L70&gt;$C$8,P70&gt;=$F$4,N70&lt;=$H$4),L70,"")</f>
        <v>22</v>
      </c>
    </row>
    <row r="71">
      <c r="L71" s="0">
        <v>23</v>
      </c>
      <c r="M71" s="3">
        <f>$C$8*M70/(L71+$C$8*M70)</f>
        <v>4.5122127280198206e-15</v>
      </c>
      <c r="N71" s="3">
        <f>$C$8/L71</f>
        <v>0.10869565217391304</v>
      </c>
      <c r="O71" s="3">
        <f>IF(L71&gt;$C$8,M71/(1-N71+N71*M71),1)</f>
        <v>5.062482572900284e-15</v>
      </c>
      <c r="P71" s="3">
        <f>IF(L71&gt;$C$8,1-O71*EXP(-(L71-$C$8)*$D$4/$B$4),0)</f>
        <v>1</v>
      </c>
      <c r="Q71" s="3">
        <f>IF(AND(L71&gt;$C$8,P71&gt;=$F$4,N71&lt;=$H$4),L71,"")</f>
        <v>23</v>
      </c>
    </row>
    <row r="72">
      <c r="L72" s="0">
        <v>24</v>
      </c>
      <c r="M72" s="3">
        <f>$C$8*M71/(L72+$C$8*M71)</f>
        <v>4.700221591687311e-16</v>
      </c>
      <c r="N72" s="3">
        <f>$C$8/L72</f>
        <v>0.10416666666666667</v>
      </c>
      <c r="O72" s="3">
        <f>IF(L72&gt;$C$8,M72/(1-N72+N72*M72),1)</f>
        <v>5.246758986069557e-16</v>
      </c>
      <c r="P72" s="3">
        <f>IF(L72&gt;$C$8,1-O72*EXP(-(L72-$C$8)*$D$4/$B$4),0)</f>
        <v>1</v>
      </c>
      <c r="Q72" s="3">
        <f>IF(AND(L72&gt;$C$8,P72&gt;=$F$4,N72&lt;=$H$4),L72,"")</f>
        <v>24</v>
      </c>
    </row>
    <row r="73">
      <c r="L73" s="0">
        <v>25</v>
      </c>
      <c r="M73" s="3">
        <f>$C$8*M72/(L73+$C$8*M72)</f>
        <v>4.700221591687311e-17</v>
      </c>
      <c r="N73" s="3">
        <f>$C$8/L73</f>
        <v>0.1</v>
      </c>
      <c r="O73" s="3">
        <f>IF(L73&gt;$C$8,M73/(1-N73+N73*M73),1)</f>
        <v>5.222468435208123e-17</v>
      </c>
      <c r="P73" s="3">
        <f>IF(L73&gt;$C$8,1-O73*EXP(-(L73-$C$8)*$D$4/$B$4),0)</f>
        <v>1</v>
      </c>
      <c r="Q73" s="3">
        <f>IF(AND(L73&gt;$C$8,P73&gt;=$F$4,N73&lt;=$H$4),L73,"")</f>
        <v>25</v>
      </c>
    </row>
    <row r="74">
      <c r="L74" s="0">
        <v>26</v>
      </c>
      <c r="M74" s="3">
        <f>$C$8*M73/(L74+$C$8*M73)</f>
        <v>4.519443838160876e-18</v>
      </c>
      <c r="N74" s="3">
        <f>$C$8/L74</f>
        <v>0.09615384615384616</v>
      </c>
      <c r="O74" s="3">
        <f>IF(L74&gt;$C$8,M74/(1-N74+N74*M74),1)</f>
        <v>5.0002357358375644e-18</v>
      </c>
      <c r="P74" s="3">
        <f>IF(L74&gt;$C$8,1-O74*EXP(-(L74-$C$8)*$D$4/$B$4),0)</f>
        <v>1</v>
      </c>
      <c r="Q74" s="3">
        <f>IF(AND(L74&gt;$C$8,P74&gt;=$F$4,N74&lt;=$H$4),L74,"")</f>
        <v>26</v>
      </c>
    </row>
    <row r="75">
      <c r="L75" s="0">
        <v>27</v>
      </c>
      <c r="M75" s="3">
        <f>$C$8*M74/(L75+$C$8*M74)</f>
        <v>4.184670220519329e-19</v>
      </c>
      <c r="N75" s="3">
        <f>$C$8/L75</f>
        <v>0.09259259259259259</v>
      </c>
      <c r="O75" s="3">
        <f>IF(L75&gt;$C$8,M75/(1-N75+N75*M75),1)</f>
        <v>4.611677385878444e-19</v>
      </c>
      <c r="P75" s="3">
        <f>IF(L75&gt;$C$8,1-O75*EXP(-(L75-$C$8)*$D$4/$B$4),0)</f>
        <v>1</v>
      </c>
      <c r="Q75" s="3">
        <f>IF(AND(L75&gt;$C$8,P75&gt;=$F$4,N75&lt;=$H$4),L75,"")</f>
        <v>27</v>
      </c>
    </row>
    <row r="76">
      <c r="L76" s="0">
        <v>28</v>
      </c>
      <c r="M76" s="3">
        <f>$C$8*M75/(L76+$C$8*M75)</f>
        <v>3.736312696892258e-20</v>
      </c>
      <c r="N76" s="3">
        <f>$C$8/L76</f>
        <v>0.08928571428571429</v>
      </c>
      <c r="O76" s="3">
        <f>IF(L76&gt;$C$8,M76/(1-N76+N76*M76),1)</f>
        <v>4.102617863254244e-20</v>
      </c>
      <c r="P76" s="3">
        <f>IF(L76&gt;$C$8,1-O76*EXP(-(L76-$C$8)*$D$4/$B$4),0)</f>
        <v>1</v>
      </c>
      <c r="Q76" s="3">
        <f>IF(AND(L76&gt;$C$8,P76&gt;=$F$4,N76&lt;=$H$4),L76,"")</f>
        <v>28</v>
      </c>
    </row>
    <row r="77">
      <c r="L77" s="0">
        <v>29</v>
      </c>
      <c r="M77" s="3">
        <f>$C$8*M76/(L77+$C$8*M76)</f>
        <v>3.220959221458843e-21</v>
      </c>
      <c r="N77" s="3">
        <f>$C$8/L77</f>
        <v>0.08620689655172414</v>
      </c>
      <c r="O77" s="3">
        <f>IF(L77&gt;$C$8,M77/(1-N77+N77*M77),1)</f>
        <v>3.524823298954961e-21</v>
      </c>
      <c r="P77" s="3">
        <f>IF(L77&gt;$C$8,1-O77*EXP(-(L77-$C$8)*$D$4/$B$4),0)</f>
        <v>1</v>
      </c>
      <c r="Q77" s="3">
        <f>IF(AND(L77&gt;$C$8,P77&gt;=$F$4,N77&lt;=$H$4),L77,"")</f>
        <v>29</v>
      </c>
    </row>
    <row r="78">
      <c r="L78" s="0">
        <v>30</v>
      </c>
      <c r="M78" s="3">
        <f>$C$8*M77/(L78+$C$8*M77)</f>
        <v>2.6841326845490358e-22</v>
      </c>
      <c r="N78" s="3">
        <f>$C$8/L78</f>
        <v>0.08333333333333333</v>
      </c>
      <c r="O78" s="3">
        <f>IF(L78&gt;$C$8,M78/(1-N78+N78*M78),1)</f>
        <v>2.9281447467807664e-22</v>
      </c>
      <c r="P78" s="3">
        <f>IF(L78&gt;$C$8,1-O78*EXP(-(L78-$C$8)*$D$4/$B$4),0)</f>
        <v>1</v>
      </c>
      <c r="Q78" s="3">
        <f>IF(AND(L78&gt;$C$8,P78&gt;=$F$4,N78&lt;=$H$4),L78,"")</f>
        <v>30</v>
      </c>
    </row>
    <row r="79">
      <c r="L79" s="0">
        <v>31</v>
      </c>
      <c r="M79" s="3">
        <f>$C$8*M78/(L79+$C$8*M78)</f>
        <v>2.1646231327008353e-23</v>
      </c>
      <c r="N79" s="3">
        <f>$C$8/L79</f>
        <v>0.08064516129032258</v>
      </c>
      <c r="O79" s="3">
        <f>IF(L79&gt;$C$8,M79/(1-N79+N79*M79),1)</f>
        <v>2.3545023548675752e-23</v>
      </c>
      <c r="P79" s="3">
        <f>IF(L79&gt;$C$8,1-O79*EXP(-(L79-$C$8)*$D$4/$B$4),0)</f>
        <v>1</v>
      </c>
      <c r="Q79" s="3">
        <f>IF(AND(L79&gt;$C$8,P79&gt;=$F$4,N79&lt;=$H$4),L79,"")</f>
        <v>31</v>
      </c>
    </row>
    <row r="80">
      <c r="L80" s="0">
        <v>32</v>
      </c>
      <c r="M80" s="3">
        <f>$C$8*M79/(L80+$C$8*M79)</f>
        <v>1.6911118224225277e-24</v>
      </c>
      <c r="N80" s="3">
        <f>$C$8/L80</f>
        <v>0.078125</v>
      </c>
      <c r="O80" s="3">
        <f>IF(L80&gt;$C$8,M80/(1-N80+N80*M80),1)</f>
        <v>1.834426383644776e-24</v>
      </c>
      <c r="P80" s="3">
        <f>IF(L80&gt;$C$8,1-O80*EXP(-(L80-$C$8)*$D$4/$B$4),0)</f>
        <v>1</v>
      </c>
      <c r="Q80" s="3">
        <f>IF(AND(L80&gt;$C$8,P80&gt;=$F$4,N80&lt;=$H$4),L80,"")</f>
        <v>32</v>
      </c>
    </row>
    <row r="81">
      <c r="L81" s="0">
        <v>33</v>
      </c>
      <c r="M81" s="3">
        <f>$C$8*M80/(L81+$C$8*M80)</f>
        <v>1.2811453200170665e-25</v>
      </c>
      <c r="N81" s="3">
        <f>$C$8/L81</f>
        <v>0.07575757575757576</v>
      </c>
      <c r="O81" s="3">
        <f>IF(L81&gt;$C$8,M81/(1-N81+N81*M81),1)</f>
        <v>1.3861572314938752e-25</v>
      </c>
      <c r="P81" s="3">
        <f>IF(L81&gt;$C$8,1-O81*EXP(-(L81-$C$8)*$D$4/$B$4),0)</f>
        <v>1</v>
      </c>
      <c r="Q81" s="3">
        <f>IF(AND(L81&gt;$C$8,P81&gt;=$F$4,N81&lt;=$H$4),L81,"")</f>
        <v>33</v>
      </c>
    </row>
    <row r="82">
      <c r="L82" s="0">
        <v>34</v>
      </c>
      <c r="M82" s="3">
        <f>$C$8*M81/(L82+$C$8*M81)</f>
        <v>9.420186176596078e-27</v>
      </c>
      <c r="N82" s="3">
        <f>$C$8/L82</f>
        <v>0.07352941176470588</v>
      </c>
      <c r="O82" s="3">
        <f>IF(L82&gt;$C$8,M82/(1-N82+N82*M82),1)</f>
        <v>1.0167820000135449e-26</v>
      </c>
      <c r="P82" s="3">
        <f>IF(L82&gt;$C$8,1-O82*EXP(-(L82-$C$8)*$D$4/$B$4),0)</f>
        <v>1</v>
      </c>
      <c r="Q82" s="3">
        <f>IF(AND(L82&gt;$C$8,P82&gt;=$F$4,N82&lt;=$H$4),L82,"")</f>
        <v>34</v>
      </c>
    </row>
    <row r="83">
      <c r="L83" s="0">
        <v>35</v>
      </c>
      <c r="M83" s="3">
        <f>$C$8*M82/(L83+$C$8*M82)</f>
        <v>6.728704411854342e-28</v>
      </c>
      <c r="N83" s="3">
        <f>$C$8/L83</f>
        <v>0.07142857142857142</v>
      </c>
      <c r="O83" s="3">
        <f>IF(L83&gt;$C$8,M83/(1-N83+N83*M83),1)</f>
        <v>7.246297058920061e-28</v>
      </c>
      <c r="P83" s="3">
        <f>IF(L83&gt;$C$8,1-O83*EXP(-(L83-$C$8)*$D$4/$B$4),0)</f>
        <v>1</v>
      </c>
      <c r="Q83" s="3">
        <f>IF(AND(L83&gt;$C$8,P83&gt;=$F$4,N83&lt;=$H$4),L83,"")</f>
        <v>35</v>
      </c>
    </row>
    <row r="84">
      <c r="L84" s="0">
        <v>36</v>
      </c>
      <c r="M84" s="3">
        <f>$C$8*M83/(L84+$C$8*M83)</f>
        <v>4.672711397121071e-29</v>
      </c>
      <c r="N84" s="3">
        <f>$C$8/L84</f>
        <v>0.06944444444444445</v>
      </c>
      <c r="O84" s="3">
        <f>IF(L84&gt;$C$8,M84/(1-N84+N84*M84),1)</f>
        <v>5.021421202876375e-29</v>
      </c>
      <c r="P84" s="3">
        <f>IF(L84&gt;$C$8,1-O84*EXP(-(L84-$C$8)*$D$4/$B$4),0)</f>
        <v>1</v>
      </c>
      <c r="Q84" s="3">
        <f>IF(AND(L84&gt;$C$8,P84&gt;=$F$4,N84&lt;=$H$4),L84,"")</f>
        <v>36</v>
      </c>
    </row>
    <row r="85">
      <c r="L85" s="0">
        <v>37</v>
      </c>
      <c r="M85" s="3">
        <f>$C$8*M84/(L85+$C$8*M84)</f>
        <v>3.15723743048721e-30</v>
      </c>
      <c r="N85" s="3">
        <f>$C$8/L85</f>
        <v>0.06756756756756757</v>
      </c>
      <c r="O85" s="3">
        <f>IF(L85&gt;$C$8,M85/(1-N85+N85*M85),1)</f>
        <v>3.386022751537008e-30</v>
      </c>
      <c r="P85" s="3">
        <f>IF(L85&gt;$C$8,1-O85*EXP(-(L85-$C$8)*$D$4/$B$4),0)</f>
        <v>1</v>
      </c>
      <c r="Q85" s="3">
        <f>IF(AND(L85&gt;$C$8,P85&gt;=$F$4,N85&lt;=$H$4),L85,"")</f>
        <v>37</v>
      </c>
    </row>
    <row r="86">
      <c r="L86" s="0">
        <v>38</v>
      </c>
      <c r="M86" s="3">
        <f>$C$8*M85/(L86+$C$8*M85)</f>
        <v>2.0771298884784277e-31</v>
      </c>
      <c r="N86" s="3">
        <f>$C$8/L86</f>
        <v>0.06578947368421052</v>
      </c>
      <c r="O86" s="3">
        <f>IF(L86&gt;$C$8,M86/(1-N86+N86*M86),1)</f>
        <v>2.223406641188176e-31</v>
      </c>
      <c r="P86" s="3">
        <f>IF(L86&gt;$C$8,1-O86*EXP(-(L86-$C$8)*$D$4/$B$4),0)</f>
        <v>1</v>
      </c>
      <c r="Q86" s="3">
        <f>IF(AND(L86&gt;$C$8,P86&gt;=$F$4,N86&lt;=$H$4),L86,"")</f>
        <v>38</v>
      </c>
    </row>
    <row r="87">
      <c r="L87" s="0">
        <v>39</v>
      </c>
      <c r="M87" s="3">
        <f>$C$8*M86/(L87+$C$8*M86)</f>
        <v>1.3314935182554025e-32</v>
      </c>
      <c r="N87" s="3">
        <f>$C$8/L87</f>
        <v>0.0641025641025641</v>
      </c>
      <c r="O87" s="3">
        <f>IF(L87&gt;$C$8,M87/(1-N87+N87*M87),1)</f>
        <v>1.4226917044372794e-32</v>
      </c>
      <c r="P87" s="3">
        <f>IF(L87&gt;$C$8,1-O87*EXP(-(L87-$C$8)*$D$4/$B$4),0)</f>
        <v>1</v>
      </c>
      <c r="Q87" s="3">
        <f>IF(AND(L87&gt;$C$8,P87&gt;=$F$4,N87&lt;=$H$4),L87,"")</f>
        <v>39</v>
      </c>
    </row>
    <row r="88">
      <c r="L88" s="0">
        <v>40</v>
      </c>
      <c r="M88" s="3">
        <f>$C$8*M87/(L88+$C$8*M87)</f>
        <v>8.321834489096266e-34</v>
      </c>
      <c r="N88" s="3">
        <f>$C$8/L88</f>
        <v>0.0625</v>
      </c>
      <c r="O88" s="3">
        <f>IF(L88&gt;$C$8,M88/(1-N88+N88*M88),1)</f>
        <v>8.876623455036017e-34</v>
      </c>
      <c r="P88" s="3">
        <f>IF(L88&gt;$C$8,1-O88*EXP(-(L88-$C$8)*$D$4/$B$4),0)</f>
        <v>1</v>
      </c>
      <c r="Q88" s="3">
        <f>IF(AND(L88&gt;$C$8,P88&gt;=$F$4,N88&lt;=$H$4),L88,"")</f>
        <v>40</v>
      </c>
    </row>
    <row r="90">
      <c r="L90" s="1" t="inlineStr">
        <is>
          <t xml:space="preserve">c</t>
        </is>
      </c>
      <c r="M90" s="1" t="inlineStr">
        <is>
          <t xml:space="preserve">Erlang B</t>
        </is>
      </c>
      <c r="N90" s="1" t="inlineStr">
        <is>
          <t xml:space="preserve">ρ</t>
        </is>
      </c>
      <c r="O90" s="1" t="inlineStr">
        <is>
          <t xml:space="preserve">P espera</t>
        </is>
      </c>
      <c r="P90" s="1" t="inlineStr">
        <is>
          <t xml:space="preserve">SL</t>
        </is>
      </c>
      <c r="Q90" s="1" t="inlineStr">
        <is>
          <t xml:space="preserve">c factible</t>
        </is>
      </c>
    </row>
    <row r="91">
      <c r="L91" s="0">
        <v>1</v>
      </c>
      <c r="M91" s="3">
        <f>$C$9/(1+$C$9)</f>
        <v>0.7777777777777778</v>
      </c>
      <c r="N91" s="3">
        <f>$C$9/L91</f>
        <v>3.5</v>
      </c>
      <c r="O91" s="3">
        <f>IF(L91&gt;$C$9,M91/(1-N91+N91*M91),1)</f>
        <v>1</v>
      </c>
      <c r="P91" s="3">
        <f>IF(L91&gt;$C$9,1-O91*EXP(-(L91-$C$9)*$D$4/$B$4),0)</f>
        <v>0</v>
      </c>
      <c r="Q91" s="3" t="str">
        <f>IF(AND(L91&gt;$C$9,P91&gt;=$F$4,N91&lt;=$H$4),L91,"")</f>
        <v/>
      </c>
    </row>
    <row r="92">
      <c r="L92" s="0">
        <v>2</v>
      </c>
      <c r="M92" s="3">
        <f>$C$9*M91/(L92+$C$9*M91)</f>
        <v>0.5764705882352942</v>
      </c>
      <c r="N92" s="3">
        <f>$C$9/L92</f>
        <v>1.75</v>
      </c>
      <c r="O92" s="3">
        <f>IF(L92&gt;$C$9,M92/(1-N92+N92*M92),1)</f>
        <v>1</v>
      </c>
      <c r="P92" s="3">
        <f>IF(L92&gt;$C$9,1-O92*EXP(-(L92-$C$9)*$D$4/$B$4),0)</f>
        <v>0</v>
      </c>
      <c r="Q92" s="3" t="str">
        <f>IF(AND(L92&gt;$C$9,P92&gt;=$F$4,N92&lt;=$H$4),L92,"")</f>
        <v/>
      </c>
    </row>
    <row r="93">
      <c r="L93" s="0">
        <v>3</v>
      </c>
      <c r="M93" s="3">
        <f>$C$9*M92/(L93+$C$9*M92)</f>
        <v>0.4021101992966003</v>
      </c>
      <c r="N93" s="3">
        <f>$C$9/L93</f>
        <v>1.1666666666666667</v>
      </c>
      <c r="O93" s="3">
        <f>IF(L93&gt;$C$9,M93/(1-N93+N93*M93),1)</f>
        <v>1</v>
      </c>
      <c r="P93" s="3">
        <f>IF(L93&gt;$C$9,1-O93*EXP(-(L93-$C$9)*$D$4/$B$4),0)</f>
        <v>0</v>
      </c>
      <c r="Q93" s="3" t="str">
        <f>IF(AND(L93&gt;$C$9,P93&gt;=$F$4,N93&lt;=$H$4),L93,"")</f>
        <v/>
      </c>
    </row>
    <row r="94">
      <c r="L94" s="0">
        <v>4</v>
      </c>
      <c r="M94" s="3">
        <f>$C$9*M93/(L94+$C$9*M93)</f>
        <v>0.2602710027100271</v>
      </c>
      <c r="N94" s="3">
        <f>$C$9/L94</f>
        <v>0.875</v>
      </c>
      <c r="O94" s="3">
        <f>IF(L94&gt;$C$9,M94/(1-N94+N94*M94),1)</f>
        <v>0.737861094038107</v>
      </c>
      <c r="P94" s="3">
        <f>IF(L94&gt;$C$9,1-O94*EXP(-(L94-$C$9)*$D$4/$B$4),0)</f>
        <v>0.7285560730631122</v>
      </c>
      <c r="Q94" s="3" t="str">
        <f>IF(AND(L94&gt;$C$9,P94&gt;=$F$4,N94&lt;=$H$4),L94,"")</f>
        <v/>
      </c>
    </row>
    <row r="95">
      <c r="L95" s="0">
        <v>5</v>
      </c>
      <c r="M95" s="3">
        <f>$C$9*M94/(L95+$C$9*M94)</f>
        <v>0.1541120698350404</v>
      </c>
      <c r="N95" s="3">
        <f>$C$9/L95</f>
        <v>0.7</v>
      </c>
      <c r="O95" s="3">
        <f>IF(L95&gt;$C$9,M95/(1-N95+N95*M95),1)</f>
        <v>0.3778382266984398</v>
      </c>
      <c r="P95" s="3">
        <f>IF(L95&gt;$C$9,1-O95*EXP(-(L95-$C$9)*$D$4/$B$4),0)</f>
        <v>0.9811885423753723</v>
      </c>
      <c r="Q95" s="3">
        <f>IF(AND(L95&gt;$C$9,P95&gt;=$F$4,N95&lt;=$H$4),L95,"")</f>
        <v>5</v>
      </c>
    </row>
    <row r="96">
      <c r="L96" s="0">
        <v>6</v>
      </c>
      <c r="M96" s="3">
        <f>$C$9*M95/(L96+$C$9*M95)</f>
        <v>0.08248354346425413</v>
      </c>
      <c r="N96" s="3">
        <f>$C$9/L96</f>
        <v>0.5833333333333334</v>
      </c>
      <c r="O96" s="3">
        <f>IF(L96&gt;$C$9,M96/(1-N96+N96*M96),1)</f>
        <v>0.17746713850850912</v>
      </c>
      <c r="P96" s="3">
        <f>IF(L96&gt;$C$9,1-O96*EXP(-(L96-$C$9)*$D$4/$B$4),0)</f>
        <v>0.9988042358266503</v>
      </c>
      <c r="Q96" s="3">
        <f>IF(AND(L96&gt;$C$9,P96&gt;=$F$4,N96&lt;=$H$4),L96,"")</f>
        <v>6</v>
      </c>
    </row>
    <row r="97">
      <c r="L97" s="0">
        <v>7</v>
      </c>
      <c r="M97" s="3">
        <f>$C$9*M96/(L97+$C$9*M96)</f>
        <v>0.03960825703671159</v>
      </c>
      <c r="N97" s="3">
        <f>$C$9/L97</f>
        <v>0.5</v>
      </c>
      <c r="O97" s="3">
        <f>IF(L97&gt;$C$9,M97/(1-N97+N97*M97),1)</f>
        <v>0.0761984271837366</v>
      </c>
      <c r="P97" s="3">
        <f>IF(L97&gt;$C$9,1-O97*EXP(-(L97-$C$9)*$D$4/$B$4),0)</f>
        <v>0.9999305160284475</v>
      </c>
      <c r="Q97" s="3">
        <f>IF(AND(L97&gt;$C$9,P97&gt;=$F$4,N97&lt;=$H$4),L97,"")</f>
        <v>7</v>
      </c>
    </row>
    <row r="98">
      <c r="L98" s="0">
        <v>8</v>
      </c>
      <c r="M98" s="3">
        <f>$C$9*M97/(L98+$C$9*M97)</f>
        <v>0.017033446461088633</v>
      </c>
      <c r="N98" s="3">
        <f>$C$9/L98</f>
        <v>0.4375</v>
      </c>
      <c r="O98" s="3">
        <f>IF(L98&gt;$C$9,M98/(1-N98+N98*M98),1)</f>
        <v>0.029885749135826197</v>
      </c>
      <c r="P98" s="3">
        <f>IF(L98&gt;$C$9,1-O98*EXP(-(L98-$C$9)*$D$4/$B$4),0)</f>
        <v>0.9999963118055541</v>
      </c>
      <c r="Q98" s="3">
        <f>IF(AND(L98&gt;$C$9,P98&gt;=$F$4,N98&lt;=$H$4),L98,"")</f>
        <v>8</v>
      </c>
    </row>
    <row r="99">
      <c r="L99" s="0">
        <v>9</v>
      </c>
      <c r="M99" s="3">
        <f>$C$9*M98/(L99+$C$9*M98)</f>
        <v>0.006580527874608639</v>
      </c>
      <c r="N99" s="3">
        <f>$C$9/L99</f>
        <v>0.3888888888888889</v>
      </c>
      <c r="O99" s="3">
        <f>IF(L99&gt;$C$9,M99/(1-N99+N99*M99),1)</f>
        <v>0.010723231823772718</v>
      </c>
      <c r="P99" s="3">
        <f>IF(L99&gt;$C$9,1-O99*EXP(-(L99-$C$9)*$D$4/$B$4),0)</f>
        <v>0.9999998209037906</v>
      </c>
      <c r="Q99" s="3">
        <f>IF(AND(L99&gt;$C$9,P99&gt;=$F$4,N99&lt;=$H$4),L99,"")</f>
        <v>9</v>
      </c>
    </row>
    <row r="100">
      <c r="L100" s="0">
        <v>10</v>
      </c>
      <c r="M100" s="3">
        <f>$C$9*M99/(L100+$C$9*M99)</f>
        <v>0.002297892285629572</v>
      </c>
      <c r="N100" s="3">
        <f>$C$9/L100</f>
        <v>0.35</v>
      </c>
      <c r="O100" s="3">
        <f>IF(L100&gt;$C$9,M100/(1-N100+N100*M100),1)</f>
        <v>0.0035308500861821667</v>
      </c>
      <c r="P100" s="3">
        <f>IF(L100&gt;$C$9,1-O100*EXP(-(L100-$C$9)*$D$4/$B$4),0)</f>
        <v>0.9999999920191157</v>
      </c>
      <c r="Q100" s="3">
        <f>IF(AND(L100&gt;$C$9,P100&gt;=$F$4,N100&lt;=$H$4),L100,"")</f>
        <v>10</v>
      </c>
    </row>
    <row r="101">
      <c r="L101" s="0">
        <v>11</v>
      </c>
      <c r="M101" s="3">
        <f>$C$9*M100/(L101+$C$9*M100)</f>
        <v>0.0007306133592633091</v>
      </c>
      <c r="N101" s="3">
        <f>$C$9/L101</f>
        <v>0.3181818181818182</v>
      </c>
      <c r="O101" s="3">
        <f>IF(L101&gt;$C$9,M101/(1-N101+N101*M101),1)</f>
        <v>0.0010712010311537384</v>
      </c>
      <c r="P101" s="3">
        <f>IF(L101&gt;$C$9,1-O101*EXP(-(L101-$C$9)*$D$4/$B$4),0)</f>
        <v>0.9999999996723171</v>
      </c>
      <c r="Q101" s="3">
        <f>IF(AND(L101&gt;$C$9,P101&gt;=$F$4,N101&lt;=$H$4),L101,"")</f>
        <v>11</v>
      </c>
    </row>
    <row r="102">
      <c r="L102" s="0">
        <v>12</v>
      </c>
      <c r="M102" s="3">
        <f>$C$9*M101/(L102+$C$9*M101)</f>
        <v>0.0002130501630739924</v>
      </c>
      <c r="N102" s="3">
        <f>$C$9/L102</f>
        <v>0.2916666666666667</v>
      </c>
      <c r="O102" s="3">
        <f>IF(L102&gt;$C$9,M102/(1-N102+N102*M102),1)</f>
        <v>0.00030075031702630643</v>
      </c>
      <c r="P102" s="3">
        <f>IF(L102&gt;$C$9,1-O102*EXP(-(L102-$C$9)*$D$4/$B$4),0)</f>
        <v>0.9999999999875491</v>
      </c>
      <c r="Q102" s="3">
        <f>IF(AND(L102&gt;$C$9,P102&gt;=$F$4,N102&lt;=$H$4),L102,"")</f>
        <v>12</v>
      </c>
    </row>
    <row r="103">
      <c r="L103" s="0">
        <v>13</v>
      </c>
      <c r="M103" s="3">
        <f>$C$9*M102/(L103+$C$9*M102)</f>
        <v>0.00005735636934734797</v>
      </c>
      <c r="N103" s="3">
        <f>$C$9/L103</f>
        <v>0.2692307692307692</v>
      </c>
      <c r="O103" s="3">
        <f>IF(L103&gt;$C$9,M103/(1-N103+N103*M103),1)</f>
        <v>0.00007848600480658343</v>
      </c>
      <c r="P103" s="3">
        <f>IF(L103&gt;$C$9,1-O103*EXP(-(L103-$C$9)*$D$4/$B$4),0)</f>
        <v>0.9999999999995602</v>
      </c>
      <c r="Q103" s="3">
        <f>IF(AND(L103&gt;$C$9,P103&gt;=$F$4,N103&lt;=$H$4),L103,"")</f>
        <v>13</v>
      </c>
    </row>
    <row r="104">
      <c r="L104" s="0">
        <v>14</v>
      </c>
      <c r="M104" s="3">
        <f>$C$9*M103/(L104+$C$9*M103)</f>
        <v>0.000014338886730216161</v>
      </c>
      <c r="N104" s="3">
        <f>$C$9/L104</f>
        <v>0.25</v>
      </c>
      <c r="O104" s="3">
        <f>IF(L104&gt;$C$9,M104/(1-N104+N104*M104),1)</f>
        <v>0.000019118424261314898</v>
      </c>
      <c r="P104" s="3">
        <f>IF(L104&gt;$C$9,1-O104*EXP(-(L104-$C$9)*$D$4/$B$4),0)</f>
        <v>0.9999999999999855</v>
      </c>
      <c r="Q104" s="3">
        <f>IF(AND(L104&gt;$C$9,P104&gt;=$F$4,N104&lt;=$H$4),L104,"")</f>
        <v>14</v>
      </c>
    </row>
    <row r="105">
      <c r="L105" s="0">
        <v>15</v>
      </c>
      <c r="M105" s="3">
        <f>$C$9*M104/(L105+$C$9*M104)</f>
        <v>0.000003345729043110156</v>
      </c>
      <c r="N105" s="3">
        <f>$C$9/L105</f>
        <v>0.23333333333333334</v>
      </c>
      <c r="O105" s="3">
        <f>IF(L105&gt;$C$9,M105/(1-N105+N105*M105),1)</f>
        <v>0.000004363989960356913</v>
      </c>
      <c r="P105" s="3">
        <f>IF(L105&gt;$C$9,1-O105*EXP(-(L105-$C$9)*$D$4/$B$4),0)</f>
        <v>0.9999999999999996</v>
      </c>
      <c r="Q105" s="3">
        <f>IF(AND(L105&gt;$C$9,P105&gt;=$F$4,N105&lt;=$H$4),L105,"")</f>
        <v>15</v>
      </c>
    </row>
    <row r="106">
      <c r="L106" s="0">
        <v>16</v>
      </c>
      <c r="M106" s="3">
        <f>$C$9*M105/(L106+$C$9*M105)</f>
        <v>7.318776925349977e-7</v>
      </c>
      <c r="N106" s="3">
        <f>$C$9/L106</f>
        <v>0.21875</v>
      </c>
      <c r="O106" s="3">
        <f>IF(L106&gt;$C$9,M106/(1-N106+N106*M106),1)</f>
        <v>9.368032544696838e-7</v>
      </c>
      <c r="P106" s="3">
        <f>IF(L106&gt;$C$9,1-O106*EXP(-(L106-$C$9)*$D$4/$B$4),0)</f>
        <v>1</v>
      </c>
      <c r="Q106" s="3">
        <f>IF(AND(L106&gt;$C$9,P106&gt;=$F$4,N106&lt;=$H$4),L106,"")</f>
        <v>16</v>
      </c>
    </row>
    <row r="107">
      <c r="L107" s="0">
        <v>17</v>
      </c>
      <c r="M107" s="3">
        <f>$C$9*M106/(L107+$C$9*M106)</f>
        <v>1.5068067869959386e-7</v>
      </c>
      <c r="N107" s="3">
        <f>$C$9/L107</f>
        <v>0.20588235294117646</v>
      </c>
      <c r="O107" s="3">
        <f>IF(L107&gt;$C$9,M107/(1-N107+N107*M107),1)</f>
        <v>1.897460324314357e-7</v>
      </c>
      <c r="P107" s="3">
        <f>IF(L107&gt;$C$9,1-O107*EXP(-(L107-$C$9)*$D$4/$B$4),0)</f>
        <v>1</v>
      </c>
      <c r="Q107" s="3">
        <f>IF(AND(L107&gt;$C$9,P107&gt;=$F$4,N107&lt;=$H$4),L107,"")</f>
        <v>17</v>
      </c>
    </row>
    <row r="108">
      <c r="L108" s="0">
        <v>18</v>
      </c>
      <c r="M108" s="3">
        <f>$C$9*M107/(L108+$C$9*M107)</f>
        <v>2.9299019999821762e-8</v>
      </c>
      <c r="N108" s="3">
        <f>$C$9/L108</f>
        <v>0.19444444444444445</v>
      </c>
      <c r="O108" s="3">
        <f>IF(L108&gt;$C$9,M108/(1-N108+N108*M108),1)</f>
        <v>3.63711969839345e-8</v>
      </c>
      <c r="P108" s="3">
        <f>IF(L108&gt;$C$9,1-O108*EXP(-(L108-$C$9)*$D$4/$B$4),0)</f>
        <v>1</v>
      </c>
      <c r="Q108" s="3">
        <f>IF(AND(L108&gt;$C$9,P108&gt;=$F$4,N108&lt;=$H$4),L108,"")</f>
        <v>18</v>
      </c>
    </row>
    <row r="109">
      <c r="L109" s="0">
        <v>19</v>
      </c>
      <c r="M109" s="3">
        <f>$C$9*M108/(L109+$C$9*M108)</f>
        <v>5.397187865574372e-9</v>
      </c>
      <c r="N109" s="3">
        <f>$C$9/L109</f>
        <v>0.18421052631578946</v>
      </c>
      <c r="O109" s="3">
        <f>IF(L109&gt;$C$9,M109/(1-N109+N109*M109),1)</f>
        <v>6.615907698125002e-9</v>
      </c>
      <c r="P109" s="3">
        <f>IF(L109&gt;$C$9,1-O109*EXP(-(L109-$C$9)*$D$4/$B$4),0)</f>
        <v>1</v>
      </c>
      <c r="Q109" s="3">
        <f>IF(AND(L109&gt;$C$9,P109&gt;=$F$4,N109&lt;=$H$4),L109,"")</f>
        <v>19</v>
      </c>
    </row>
    <row r="110">
      <c r="L110" s="0">
        <v>20</v>
      </c>
      <c r="M110" s="3">
        <f>$C$9*M109/(L110+$C$9*M109)</f>
        <v>9.445078755834198e-10</v>
      </c>
      <c r="N110" s="3">
        <f>$C$9/L110</f>
        <v>0.175</v>
      </c>
      <c r="O110" s="3">
        <f>IF(L110&gt;$C$9,M110/(1-N110+N110*M110),1)</f>
        <v>1.1448580307808333e-9</v>
      </c>
      <c r="P110" s="3">
        <f>IF(L110&gt;$C$9,1-O110*EXP(-(L110-$C$9)*$D$4/$B$4),0)</f>
        <v>1</v>
      </c>
      <c r="Q110" s="3">
        <f>IF(AND(L110&gt;$C$9,P110&gt;=$F$4,N110&lt;=$H$4),L110,"")</f>
        <v>20</v>
      </c>
    </row>
    <row r="111">
      <c r="L111" s="0">
        <v>21</v>
      </c>
      <c r="M111" s="3">
        <f>$C$9*M110/(L111+$C$9*M110)</f>
        <v>1.5741797923912288e-10</v>
      </c>
      <c r="N111" s="3">
        <f>$C$9/L111</f>
        <v>0.16666666666666666</v>
      </c>
      <c r="O111" s="3">
        <f>IF(L111&gt;$C$9,M111/(1-N111+N111*M111),1)</f>
        <v>1.8890157508100014e-10</v>
      </c>
      <c r="P111" s="3">
        <f>IF(L111&gt;$C$9,1-O111*EXP(-(L111-$C$9)*$D$4/$B$4),0)</f>
        <v>1</v>
      </c>
      <c r="Q111" s="3">
        <f>IF(AND(L111&gt;$C$9,P111&gt;=$F$4,N111&lt;=$H$4),L111,"")</f>
        <v>21</v>
      </c>
    </row>
    <row r="112">
      <c r="L112" s="0">
        <v>22</v>
      </c>
      <c r="M112" s="3">
        <f>$C$9*M111/(L112+$C$9*M111)</f>
        <v>2.5043769423778725e-11</v>
      </c>
      <c r="N112" s="3">
        <f>$C$9/L112</f>
        <v>0.1590909090909091</v>
      </c>
      <c r="O112" s="3">
        <f>IF(L112&gt;$C$9,M112/(1-N112+N112*M112),1)</f>
        <v>2.9781779855163324e-11</v>
      </c>
      <c r="P112" s="3">
        <f>IF(L112&gt;$C$9,1-O112*EXP(-(L112-$C$9)*$D$4/$B$4),0)</f>
        <v>1</v>
      </c>
      <c r="Q112" s="3">
        <f>IF(AND(L112&gt;$C$9,P112&gt;=$F$4,N112&lt;=$H$4),L112,"")</f>
        <v>22</v>
      </c>
    </row>
    <row r="113">
      <c r="L113" s="0">
        <v>23</v>
      </c>
      <c r="M113" s="3">
        <f>$C$9*M112/(L113+$C$9*M112)</f>
        <v>3.811008390560499e-12</v>
      </c>
      <c r="N113" s="3">
        <f>$C$9/L113</f>
        <v>0.15217391304347827</v>
      </c>
      <c r="O113" s="3">
        <f>IF(L113&gt;$C$9,M113/(1-N113+N113*M113),1)</f>
        <v>4.495035537581104e-12</v>
      </c>
      <c r="P113" s="3">
        <f>IF(L113&gt;$C$9,1-O113*EXP(-(L113-$C$9)*$D$4/$B$4),0)</f>
        <v>1</v>
      </c>
      <c r="Q113" s="3">
        <f>IF(AND(L113&gt;$C$9,P113&gt;=$F$4,N113&lt;=$H$4),L113,"")</f>
        <v>23</v>
      </c>
    </row>
    <row r="114">
      <c r="L114" s="0">
        <v>24</v>
      </c>
      <c r="M114" s="3">
        <f>$C$9*M113/(L114+$C$9*M113)</f>
        <v>5.557720569564307e-13</v>
      </c>
      <c r="N114" s="3">
        <f>$C$9/L114</f>
        <v>0.14583333333333334</v>
      </c>
      <c r="O114" s="3">
        <f>IF(L114&gt;$C$9,M114/(1-N114+N114*M114),1)</f>
        <v>6.506599691196619e-13</v>
      </c>
      <c r="P114" s="3">
        <f>IF(L114&gt;$C$9,1-O114*EXP(-(L114-$C$9)*$D$4/$B$4),0)</f>
        <v>1</v>
      </c>
      <c r="Q114" s="3">
        <f>IF(AND(L114&gt;$C$9,P114&gt;=$F$4,N114&lt;=$H$4),L114,"")</f>
        <v>24</v>
      </c>
    </row>
    <row r="115">
      <c r="L115" s="0">
        <v>25</v>
      </c>
      <c r="M115" s="3">
        <f>$C$9*M114/(L115+$C$9*M114)</f>
        <v>7.780808797389423e-14</v>
      </c>
      <c r="N115" s="3">
        <f>$C$9/L115</f>
        <v>0.14</v>
      </c>
      <c r="O115" s="3">
        <f>IF(L115&gt;$C$9,M115/(1-N115+N115*M115),1)</f>
        <v>9.047452089987587e-14</v>
      </c>
      <c r="P115" s="3">
        <f>IF(L115&gt;$C$9,1-O115*EXP(-(L115-$C$9)*$D$4/$B$4),0)</f>
        <v>1</v>
      </c>
      <c r="Q115" s="3">
        <f>IF(AND(L115&gt;$C$9,P115&gt;=$F$4,N115&lt;=$H$4),L115,"")</f>
        <v>25</v>
      </c>
    </row>
    <row r="116">
      <c r="L116" s="0">
        <v>26</v>
      </c>
      <c r="M116" s="3">
        <f>$C$9*M115/(L116+$C$9*M115)</f>
        <v>1.0474165688793344e-14</v>
      </c>
      <c r="N116" s="3">
        <f>$C$9/L116</f>
        <v>0.1346153846153846</v>
      </c>
      <c r="O116" s="3">
        <f>IF(L116&gt;$C$9,M116/(1-N116+N116*M116),1)</f>
        <v>1.210348035149451e-14</v>
      </c>
      <c r="P116" s="3">
        <f>IF(L116&gt;$C$9,1-O116*EXP(-(L116-$C$9)*$D$4/$B$4),0)</f>
        <v>1</v>
      </c>
      <c r="Q116" s="3">
        <f>IF(AND(L116&gt;$C$9,P116&gt;=$F$4,N116&lt;=$H$4),L116,"")</f>
        <v>26</v>
      </c>
    </row>
    <row r="117">
      <c r="L117" s="0">
        <v>27</v>
      </c>
      <c r="M117" s="3">
        <f>$C$9*M116/(L117+$C$9*M116)</f>
        <v>1.357762218917654e-15</v>
      </c>
      <c r="N117" s="3">
        <f>$C$9/L117</f>
        <v>0.12962962962962962</v>
      </c>
      <c r="O117" s="3">
        <f>IF(L117&gt;$C$9,M117/(1-N117+N117*M117),1)</f>
        <v>1.5599821238628363e-15</v>
      </c>
      <c r="P117" s="3">
        <f>IF(L117&gt;$C$9,1-O117*EXP(-(L117-$C$9)*$D$4/$B$4),0)</f>
        <v>1</v>
      </c>
      <c r="Q117" s="3">
        <f>IF(AND(L117&gt;$C$9,P117&gt;=$F$4,N117&lt;=$H$4),L117,"")</f>
        <v>27</v>
      </c>
    </row>
    <row r="118">
      <c r="L118" s="0">
        <v>28</v>
      </c>
      <c r="M118" s="3">
        <f>$C$9*M117/(L118+$C$9*M117)</f>
        <v>1.6972027736470675e-16</v>
      </c>
      <c r="N118" s="3">
        <f>$C$9/L118</f>
        <v>0.125</v>
      </c>
      <c r="O118" s="3">
        <f>IF(L118&gt;$C$9,M118/(1-N118+N118*M118),1)</f>
        <v>1.9396603127395058e-16</v>
      </c>
      <c r="P118" s="3">
        <f>IF(L118&gt;$C$9,1-O118*EXP(-(L118-$C$9)*$D$4/$B$4),0)</f>
        <v>1</v>
      </c>
      <c r="Q118" s="3">
        <f>IF(AND(L118&gt;$C$9,P118&gt;=$F$4,N118&lt;=$H$4),L118,"")</f>
        <v>28</v>
      </c>
    </row>
    <row r="119">
      <c r="L119" s="0">
        <v>29</v>
      </c>
      <c r="M119" s="3">
        <f>$C$9*M118/(L119+$C$9*M118)</f>
        <v>2.0483481750912886e-17</v>
      </c>
      <c r="N119" s="3">
        <f>$C$9/L119</f>
        <v>0.1206896551724138</v>
      </c>
      <c r="O119" s="3">
        <f>IF(L119&gt;$C$9,M119/(1-N119+N119*M119),1)</f>
        <v>2.329494003044995e-17</v>
      </c>
      <c r="P119" s="3">
        <f>IF(L119&gt;$C$9,1-O119*EXP(-(L119-$C$9)*$D$4/$B$4),0)</f>
        <v>1</v>
      </c>
      <c r="Q119" s="3">
        <f>IF(AND(L119&gt;$C$9,P119&gt;=$F$4,N119&lt;=$H$4),L119,"")</f>
        <v>29</v>
      </c>
    </row>
    <row r="120">
      <c r="L120" s="0">
        <v>30</v>
      </c>
      <c r="M120" s="3">
        <f>$C$9*M119/(L120+$C$9*M119)</f>
        <v>2.3897395376065036e-18</v>
      </c>
      <c r="N120" s="3">
        <f>$C$9/L120</f>
        <v>0.11666666666666667</v>
      </c>
      <c r="O120" s="3">
        <f>IF(L120&gt;$C$9,M120/(1-N120+N120*M120),1)</f>
        <v>2.7053655142715135e-18</v>
      </c>
      <c r="P120" s="3">
        <f>IF(L120&gt;$C$9,1-O120*EXP(-(L120-$C$9)*$D$4/$B$4),0)</f>
        <v>1</v>
      </c>
      <c r="Q120" s="3">
        <f>IF(AND(L120&gt;$C$9,P120&gt;=$F$4,N120&lt;=$H$4),L120,"")</f>
        <v>30</v>
      </c>
    </row>
    <row r="121">
      <c r="L121" s="0">
        <v>31</v>
      </c>
      <c r="M121" s="3">
        <f>$C$9*M120/(L121+$C$9*M120)</f>
        <v>2.6980930263299235e-19</v>
      </c>
      <c r="N121" s="3">
        <f>$C$9/L121</f>
        <v>0.11290322580645161</v>
      </c>
      <c r="O121" s="3">
        <f>IF(L121&gt;$C$9,M121/(1-N121+N121*M121),1)</f>
        <v>3.041486684226459e-19</v>
      </c>
      <c r="P121" s="3">
        <f>IF(L121&gt;$C$9,1-O121*EXP(-(L121-$C$9)*$D$4/$B$4),0)</f>
        <v>1</v>
      </c>
      <c r="Q121" s="3">
        <f>IF(AND(L121&gt;$C$9,P121&gt;=$F$4,N121&lt;=$H$4),L121,"")</f>
        <v>31</v>
      </c>
    </row>
    <row r="122">
      <c r="L122" s="0">
        <v>32</v>
      </c>
      <c r="M122" s="3">
        <f>$C$9*M121/(L122+$C$9*M121)</f>
        <v>2.951039247548354e-20</v>
      </c>
      <c r="N122" s="3">
        <f>$C$9/L122</f>
        <v>0.109375</v>
      </c>
      <c r="O122" s="3">
        <f>IF(L122&gt;$C$9,M122/(1-N122+N122*M122),1)</f>
        <v>3.313447576194643e-20</v>
      </c>
      <c r="P122" s="3">
        <f>IF(L122&gt;$C$9,1-O122*EXP(-(L122-$C$9)*$D$4/$B$4),0)</f>
        <v>1</v>
      </c>
      <c r="Q122" s="3">
        <f>IF(AND(L122&gt;$C$9,P122&gt;=$F$4,N122&lt;=$H$4),L122,"")</f>
        <v>32</v>
      </c>
    </row>
    <row r="123">
      <c r="L123" s="0">
        <v>33</v>
      </c>
      <c r="M123" s="3">
        <f>$C$9*M122/(L123+$C$9*M122)</f>
        <v>3.129890111036133e-21</v>
      </c>
      <c r="N123" s="3">
        <f>$C$9/L123</f>
        <v>0.10606060606060606</v>
      </c>
      <c r="O123" s="3">
        <f>IF(L123&gt;$C$9,M123/(1-N123+N123*M123),1)</f>
        <v>3.501233005565844e-21</v>
      </c>
      <c r="P123" s="3">
        <f>IF(L123&gt;$C$9,1-O123*EXP(-(L123-$C$9)*$D$4/$B$4),0)</f>
        <v>1</v>
      </c>
      <c r="Q123" s="3">
        <f>IF(AND(L123&gt;$C$9,P123&gt;=$F$4,N123&lt;=$H$4),L123,"")</f>
        <v>33</v>
      </c>
    </row>
    <row r="124">
      <c r="L124" s="0">
        <v>34</v>
      </c>
      <c r="M124" s="3">
        <f>$C$9*M123/(L124+$C$9*M123)</f>
        <v>3.2219457025371957e-22</v>
      </c>
      <c r="N124" s="3">
        <f>$C$9/L124</f>
        <v>0.10294117647058823</v>
      </c>
      <c r="O124" s="3">
        <f>IF(L124&gt;$C$9,M124/(1-N124+N124*M124),1)</f>
        <v>3.591677176598841e-22</v>
      </c>
      <c r="P124" s="3">
        <f>IF(L124&gt;$C$9,1-O124*EXP(-(L124-$C$9)*$D$4/$B$4),0)</f>
        <v>1</v>
      </c>
      <c r="Q124" s="3">
        <f>IF(AND(L124&gt;$C$9,P124&gt;=$F$4,N124&lt;=$H$4),L124,"")</f>
        <v>34</v>
      </c>
    </row>
    <row r="125">
      <c r="L125" s="0">
        <v>35</v>
      </c>
      <c r="M125" s="3">
        <f>$C$9*M124/(L125+$C$9*M124)</f>
        <v>3.2219457025371955e-23</v>
      </c>
      <c r="N125" s="3">
        <f>$C$9/L125</f>
        <v>0.1</v>
      </c>
      <c r="O125" s="3">
        <f>IF(L125&gt;$C$9,M125/(1-N125+N125*M125),1)</f>
        <v>3.5799396694857725e-23</v>
      </c>
      <c r="P125" s="3">
        <f>IF(L125&gt;$C$9,1-O125*EXP(-(L125-$C$9)*$D$4/$B$4),0)</f>
        <v>1</v>
      </c>
      <c r="Q125" s="3">
        <f>IF(AND(L125&gt;$C$9,P125&gt;=$F$4,N125&lt;=$H$4),L125,"")</f>
        <v>35</v>
      </c>
    </row>
    <row r="126">
      <c r="L126" s="0">
        <v>36</v>
      </c>
      <c r="M126" s="3">
        <f>$C$9*M125/(L126+$C$9*M125)</f>
        <v>3.1324472108000514e-24</v>
      </c>
      <c r="N126" s="3">
        <f>$C$9/L126</f>
        <v>0.09722222222222222</v>
      </c>
      <c r="O126" s="3">
        <f>IF(L126&gt;$C$9,M126/(1-N126+N126*M126),1)</f>
        <v>3.469787679655442e-24</v>
      </c>
      <c r="P126" s="3">
        <f>IF(L126&gt;$C$9,1-O126*EXP(-(L126-$C$9)*$D$4/$B$4),0)</f>
        <v>1</v>
      </c>
      <c r="Q126" s="3">
        <f>IF(AND(L126&gt;$C$9,P126&gt;=$F$4,N126&lt;=$H$4),L126,"")</f>
        <v>36</v>
      </c>
    </row>
    <row r="127">
      <c r="L127" s="0">
        <v>37</v>
      </c>
      <c r="M127" s="3">
        <f>$C$9*M126/(L127+$C$9*M126)</f>
        <v>2.963125739945995e-25</v>
      </c>
      <c r="N127" s="3">
        <f>$C$9/L127</f>
        <v>0.0945945945945946</v>
      </c>
      <c r="O127" s="3">
        <f>IF(L127&gt;$C$9,M127/(1-N127+N127*M127),1)</f>
        <v>3.2727060411343825e-25</v>
      </c>
      <c r="P127" s="3">
        <f>IF(L127&gt;$C$9,1-O127*EXP(-(L127-$C$9)*$D$4/$B$4),0)</f>
        <v>1</v>
      </c>
      <c r="Q127" s="3">
        <f>IF(AND(L127&gt;$C$9,P127&gt;=$F$4,N127&lt;=$H$4),L127,"")</f>
        <v>37</v>
      </c>
    </row>
    <row r="128">
      <c r="L128" s="0">
        <v>38</v>
      </c>
      <c r="M128" s="3">
        <f>$C$9*M127/(L128+$C$9*M127)</f>
        <v>2.729194760476574e-26</v>
      </c>
      <c r="N128" s="3">
        <f>$C$9/L128</f>
        <v>0.09210526315789473</v>
      </c>
      <c r="O128" s="3">
        <f>IF(L128&gt;$C$9,M128/(1-N128+N128*M128),1)</f>
        <v>3.00606959124956e-26</v>
      </c>
      <c r="P128" s="3">
        <f>IF(L128&gt;$C$9,1-O128*EXP(-(L128-$C$9)*$D$4/$B$4),0)</f>
        <v>1</v>
      </c>
      <c r="Q128" s="3">
        <f>IF(AND(L128&gt;$C$9,P128&gt;=$F$4,N128&lt;=$H$4),L128,"")</f>
        <v>38</v>
      </c>
    </row>
    <row r="129">
      <c r="L129" s="0">
        <v>39</v>
      </c>
      <c r="M129" s="3">
        <f>$C$9*M128/(L129+$C$9*M128)</f>
        <v>2.4492773491456434e-27</v>
      </c>
      <c r="N129" s="3">
        <f>$C$9/L129</f>
        <v>0.08974358974358974</v>
      </c>
      <c r="O129" s="3">
        <f>IF(L129&gt;$C$9,M129/(1-N129+N129*M129),1)</f>
        <v>2.6907553976529605e-27</v>
      </c>
      <c r="P129" s="3">
        <f>IF(L129&gt;$C$9,1-O129*EXP(-(L129-$C$9)*$D$4/$B$4),0)</f>
        <v>1</v>
      </c>
      <c r="Q129" s="3">
        <f>IF(AND(L129&gt;$C$9,P129&gt;=$F$4,N129&lt;=$H$4),L129,"")</f>
        <v>39</v>
      </c>
    </row>
    <row r="130">
      <c r="L130" s="0">
        <v>40</v>
      </c>
      <c r="M130" s="3">
        <f>$C$9*M129/(L130+$C$9*M129)</f>
        <v>2.143117680502438e-28</v>
      </c>
      <c r="N130" s="3">
        <f>$C$9/L130</f>
        <v>0.0875</v>
      </c>
      <c r="O130" s="3">
        <f>IF(L130&gt;$C$9,M130/(1-N130+N130*M130),1)</f>
        <v>2.3486221156191104e-28</v>
      </c>
      <c r="P130" s="3">
        <f>IF(L130&gt;$C$9,1-O130*EXP(-(L130-$C$9)*$D$4/$B$4),0)</f>
        <v>1</v>
      </c>
      <c r="Q130" s="3">
        <f>IF(AND(L130&gt;$C$9,P130&gt;=$F$4,N130&lt;=$H$4),L130,"")</f>
        <v>40</v>
      </c>
    </row>
    <row r="132">
      <c r="L132" s="1" t="inlineStr">
        <is>
          <t xml:space="preserve">c</t>
        </is>
      </c>
      <c r="M132" s="1" t="inlineStr">
        <is>
          <t xml:space="preserve">Erlang B</t>
        </is>
      </c>
      <c r="N132" s="1" t="inlineStr">
        <is>
          <t xml:space="preserve">ρ</t>
        </is>
      </c>
      <c r="O132" s="1" t="inlineStr">
        <is>
          <t xml:space="preserve">P espera</t>
        </is>
      </c>
      <c r="P132" s="1" t="inlineStr">
        <is>
          <t xml:space="preserve">SL</t>
        </is>
      </c>
      <c r="Q132" s="1" t="inlineStr">
        <is>
          <t xml:space="preserve">c factible</t>
        </is>
      </c>
    </row>
    <row r="133">
      <c r="L133" s="0">
        <v>1</v>
      </c>
      <c r="M133" s="3">
        <f>$C$10/(1+$C$10)</f>
        <v>0.75</v>
      </c>
      <c r="N133" s="3">
        <f>$C$10/L133</f>
        <v>3</v>
      </c>
      <c r="O133" s="3">
        <f>IF(L133&gt;$C$10,M133/(1-N133+N133*M133),1)</f>
        <v>1</v>
      </c>
      <c r="P133" s="3">
        <f>IF(L133&gt;$C$10,1-O133*EXP(-(L133-$C$10)*$D$4/$B$4),0)</f>
        <v>0</v>
      </c>
      <c r="Q133" s="3" t="str">
        <f>IF(AND(L133&gt;$C$10,P133&gt;=$F$4,N133&lt;=$H$4),L133,"")</f>
        <v/>
      </c>
    </row>
    <row r="134">
      <c r="L134" s="0">
        <v>2</v>
      </c>
      <c r="M134" s="3">
        <f>$C$10*M133/(L134+$C$10*M133)</f>
        <v>0.5294117647058824</v>
      </c>
      <c r="N134" s="3">
        <f>$C$10/L134</f>
        <v>1.5</v>
      </c>
      <c r="O134" s="3">
        <f>IF(L134&gt;$C$10,M134/(1-N134+N134*M134),1)</f>
        <v>1</v>
      </c>
      <c r="P134" s="3">
        <f>IF(L134&gt;$C$10,1-O134*EXP(-(L134-$C$10)*$D$4/$B$4),0)</f>
        <v>0</v>
      </c>
      <c r="Q134" s="3" t="str">
        <f>IF(AND(L134&gt;$C$10,P134&gt;=$F$4,N134&lt;=$H$4),L134,"")</f>
        <v/>
      </c>
    </row>
    <row r="135">
      <c r="L135" s="0">
        <v>3</v>
      </c>
      <c r="M135" s="3">
        <f>$C$10*M134/(L135+$C$10*M134)</f>
        <v>0.3461538461538462</v>
      </c>
      <c r="N135" s="3">
        <f>$C$10/L135</f>
        <v>1</v>
      </c>
      <c r="O135" s="3">
        <f>IF(L135&gt;$C$10,M135/(1-N135+N135*M135),1)</f>
        <v>1</v>
      </c>
      <c r="P135" s="3">
        <f>IF(L135&gt;$C$10,1-O135*EXP(-(L135-$C$10)*$D$4/$B$4),0)</f>
        <v>0</v>
      </c>
      <c r="Q135" s="3" t="str">
        <f>IF(AND(L135&gt;$C$10,P135&gt;=$F$4,N135&lt;=$H$4),L135,"")</f>
        <v/>
      </c>
    </row>
    <row r="136">
      <c r="L136" s="0">
        <v>4</v>
      </c>
      <c r="M136" s="3">
        <f>$C$10*M135/(L136+$C$10*M135)</f>
        <v>0.20610687022900764</v>
      </c>
      <c r="N136" s="3">
        <f>$C$10/L136</f>
        <v>0.75</v>
      </c>
      <c r="O136" s="3">
        <f>IF(L136&gt;$C$10,M136/(1-N136+N136*M136),1)</f>
        <v>0.5094339622641509</v>
      </c>
      <c r="P136" s="3">
        <f>IF(L136&gt;$C$10,1-O136*EXP(-(L136-$C$10)*$D$4/$B$4),0)</f>
        <v>0.9310556104266312</v>
      </c>
      <c r="Q136" s="3">
        <f>IF(AND(L136&gt;$C$10,P136&gt;=$F$4,N136&lt;=$H$4),L136,"")</f>
        <v>4</v>
      </c>
    </row>
    <row r="137">
      <c r="L137" s="0">
        <v>5</v>
      </c>
      <c r="M137" s="3">
        <f>$C$10*M136/(L137+$C$10*M136)</f>
        <v>0.11005434782608696</v>
      </c>
      <c r="N137" s="3">
        <f>$C$10/L137</f>
        <v>0.6</v>
      </c>
      <c r="O137" s="3">
        <f>IF(L137&gt;$C$10,M137/(1-N137+N137*M137),1)</f>
        <v>0.23615160349854225</v>
      </c>
      <c r="P137" s="3">
        <f>IF(L137&gt;$C$10,1-O137*EXP(-(L137-$C$10)*$D$4/$B$4),0)</f>
        <v>0.9956747325073252</v>
      </c>
      <c r="Q137" s="3">
        <f>IF(AND(L137&gt;$C$10,P137&gt;=$F$4,N137&lt;=$H$4),L137,"")</f>
        <v>5</v>
      </c>
    </row>
    <row r="138">
      <c r="L138" s="0">
        <v>6</v>
      </c>
      <c r="M138" s="3">
        <f>$C$10*M137/(L138+$C$10*M137)</f>
        <v>0.05215711526078558</v>
      </c>
      <c r="N138" s="3">
        <f>$C$10/L138</f>
        <v>0.5</v>
      </c>
      <c r="O138" s="3">
        <f>IF(L138&gt;$C$10,M138/(1-N138+N138*M138),1)</f>
        <v>0.09914320685434516</v>
      </c>
      <c r="P138" s="3">
        <f>IF(L138&gt;$C$10,1-O138*EXP(-(L138-$C$10)*$D$4/$B$4),0)</f>
        <v>0.9997542485602081</v>
      </c>
      <c r="Q138" s="3">
        <f>IF(AND(L138&gt;$C$10,P138&gt;=$F$4,N138&lt;=$H$4),L138,"")</f>
        <v>6</v>
      </c>
    </row>
    <row r="139">
      <c r="L139" s="0">
        <v>7</v>
      </c>
      <c r="M139" s="3">
        <f>$C$10*M138/(L139+$C$10*M138)</f>
        <v>0.021864315278027714</v>
      </c>
      <c r="N139" s="3">
        <f>$C$10/L139</f>
        <v>0.42857142857142855</v>
      </c>
      <c r="O139" s="3">
        <f>IF(L139&gt;$C$10,M139/(1-N139+N139*M139),1)</f>
        <v>0.037645236250968245</v>
      </c>
      <c r="P139" s="3">
        <f>IF(L139&gt;$C$10,1-O139*EXP(-(L139-$C$10)*$D$4/$B$4),0)</f>
        <v>0.9999873714301193</v>
      </c>
      <c r="Q139" s="3">
        <f>IF(AND(L139&gt;$C$10,P139&gt;=$F$4,N139&lt;=$H$4),L139,"")</f>
        <v>7</v>
      </c>
    </row>
    <row r="140">
      <c r="L140" s="0">
        <v>8</v>
      </c>
      <c r="M140" s="3">
        <f>$C$10*M139/(L140+$C$10*M139)</f>
        <v>0.008132439397150859</v>
      </c>
      <c r="N140" s="3">
        <f>$C$10/L140</f>
        <v>0.375</v>
      </c>
      <c r="O140" s="3">
        <f>IF(L140&gt;$C$10,M140/(1-N140+N140*M140),1)</f>
        <v>0.012948720225936522</v>
      </c>
      <c r="P140" s="3">
        <f>IF(L140&gt;$C$10,1-O140*EXP(-(L140-$C$10)*$D$4/$B$4),0)</f>
        <v>0.9999994121290112</v>
      </c>
      <c r="Q140" s="3">
        <f>IF(AND(L140&gt;$C$10,P140&gt;=$F$4,N140&lt;=$H$4),L140,"")</f>
        <v>8</v>
      </c>
    </row>
    <row r="141">
      <c r="L141" s="0">
        <v>9</v>
      </c>
      <c r="M141" s="3">
        <f>$C$10*M140/(L141+$C$10*M140)</f>
        <v>0.002703484491121891</v>
      </c>
      <c r="N141" s="3">
        <f>$C$10/L141</f>
        <v>0.3333333333333333</v>
      </c>
      <c r="O141" s="3">
        <f>IF(L141&gt;$C$10,M141/(1-N141+N141*M141),1)</f>
        <v>0.0040497525151240756</v>
      </c>
      <c r="P141" s="3">
        <f>IF(L141&gt;$C$10,1-O141*EXP(-(L141-$C$10)*$D$4/$B$4),0)</f>
        <v>0.9999999751174605</v>
      </c>
      <c r="Q141" s="3">
        <f>IF(AND(L141&gt;$C$10,P141&gt;=$F$4,N141&lt;=$H$4),L141,"")</f>
        <v>9</v>
      </c>
    </row>
    <row r="142">
      <c r="L142" s="0">
        <v>10</v>
      </c>
      <c r="M142" s="3">
        <f>$C$10*M141/(L142+$C$10*M141)</f>
        <v>0.0008103880858500017</v>
      </c>
      <c r="N142" s="3">
        <f>$C$10/L142</f>
        <v>0.3</v>
      </c>
      <c r="O142" s="3">
        <f>IF(L142&gt;$C$10,M142/(1-N142+N142*M142),1)</f>
        <v>0.0011572953262096437</v>
      </c>
      <c r="P142" s="3">
        <f>IF(L142&gt;$C$10,1-O142*EXP(-(L142-$C$10)*$D$4/$B$4),0)</f>
        <v>0.9999999990376757</v>
      </c>
      <c r="Q142" s="3">
        <f>IF(AND(L142&gt;$C$10,P142&gt;=$F$4,N142&lt;=$H$4),L142,"")</f>
        <v>10</v>
      </c>
    </row>
    <row r="143">
      <c r="L143" s="0">
        <v>11</v>
      </c>
      <c r="M143" s="3">
        <f>$C$10*M142/(L143+$C$10*M142)</f>
        <v>0.0002209660956978195</v>
      </c>
      <c r="N143" s="3">
        <f>$C$10/L143</f>
        <v>0.2727272727272727</v>
      </c>
      <c r="O143" s="3">
        <f>IF(L143&gt;$C$10,M143/(1-N143+N143*M143),1)</f>
        <v>0.00030380320775624743</v>
      </c>
      <c r="P143" s="3">
        <f>IF(L143&gt;$C$10,1-O143*EXP(-(L143-$C$10)*$D$4/$B$4),0)</f>
        <v>0.9999999999658115</v>
      </c>
      <c r="Q143" s="3">
        <f>IF(AND(L143&gt;$C$10,P143&gt;=$F$4,N143&lt;=$H$4),L143,"")</f>
        <v>11</v>
      </c>
    </row>
    <row r="144">
      <c r="L144" s="0">
        <v>12</v>
      </c>
      <c r="M144" s="3">
        <f>$C$10*M143/(L144+$C$10*M143)</f>
        <v>0.000055238472467056535</v>
      </c>
      <c r="N144" s="3">
        <f>$C$10/L144</f>
        <v>0.25</v>
      </c>
      <c r="O144" s="3">
        <f>IF(L144&gt;$C$10,M144/(1-N144+N144*M144),1)</f>
        <v>0.00007364994051933818</v>
      </c>
      <c r="P144" s="3">
        <f>IF(L144&gt;$C$10,1-O144*EXP(-(L144-$C$10)*$D$4/$B$4),0)</f>
        <v>0.9999999999988783</v>
      </c>
      <c r="Q144" s="3">
        <f>IF(AND(L144&gt;$C$10,P144&gt;=$F$4,N144&lt;=$H$4),L144,"")</f>
        <v>12</v>
      </c>
    </row>
    <row r="145">
      <c r="L145" s="0">
        <v>13</v>
      </c>
      <c r="M145" s="3">
        <f>$C$10*M144/(L145+$C$10*M144)</f>
        <v>0.000012747177307489339</v>
      </c>
      <c r="N145" s="3">
        <f>$C$10/L145</f>
        <v>0.23076923076923078</v>
      </c>
      <c r="O145" s="3">
        <f>IF(L145&gt;$C$10,M145/(1-N145+N145*M145),1)</f>
        <v>0.00001657126712867205</v>
      </c>
      <c r="P145" s="3">
        <f>IF(L145&gt;$C$10,1-O145*EXP(-(L145-$C$10)*$D$4/$B$4),0)</f>
        <v>0.9999999999999658</v>
      </c>
      <c r="Q145" s="3">
        <f>IF(AND(L145&gt;$C$10,P145&gt;=$F$4,N145&lt;=$H$4),L145,"")</f>
        <v>13</v>
      </c>
    </row>
    <row r="146">
      <c r="L146" s="0">
        <v>14</v>
      </c>
      <c r="M146" s="3">
        <f>$C$10*M145/(L146+$C$10*M145)</f>
        <v>0.0000027315305331825667</v>
      </c>
      <c r="N146" s="3">
        <f>$C$10/L146</f>
        <v>0.21428571428571427</v>
      </c>
      <c r="O146" s="3">
        <f>IF(L146&gt;$C$10,M146/(1-N146+N146*M146),1)</f>
        <v>0.000003476490816012136</v>
      </c>
      <c r="P146" s="3">
        <f>IF(L146&gt;$C$10,1-O146*EXP(-(L146-$C$10)*$D$4/$B$4),0)</f>
        <v>0.999999999999999</v>
      </c>
      <c r="Q146" s="3">
        <f>IF(AND(L146&gt;$C$10,P146&gt;=$F$4,N146&lt;=$H$4),L146,"")</f>
        <v>14</v>
      </c>
    </row>
    <row r="147">
      <c r="L147" s="0">
        <v>15</v>
      </c>
      <c r="M147" s="3">
        <f>$C$10*M146/(L147+$C$10*M146)</f>
        <v>5.463058081863143e-7</v>
      </c>
      <c r="N147" s="3">
        <f>$C$10/L147</f>
        <v>0.2</v>
      </c>
      <c r="O147" s="3">
        <f>IF(L147&gt;$C$10,M147/(1-N147+N147*M147),1)</f>
        <v>6.828821669672692e-7</v>
      </c>
      <c r="P147" s="3">
        <f>IF(L147&gt;$C$10,1-O147*EXP(-(L147-$C$10)*$D$4/$B$4),0)</f>
        <v>1</v>
      </c>
      <c r="Q147" s="3">
        <f>IF(AND(L147&gt;$C$10,P147&gt;=$F$4,N147&lt;=$H$4),L147,"")</f>
        <v>15</v>
      </c>
    </row>
    <row r="148">
      <c r="L148" s="0">
        <v>16</v>
      </c>
      <c r="M148" s="3">
        <f>$C$10*M147/(L148+$C$10*M147)</f>
        <v>1.0243232854255093e-7</v>
      </c>
      <c r="N148" s="3">
        <f>$C$10/L148</f>
        <v>0.1875</v>
      </c>
      <c r="O148" s="3">
        <f>IF(L148&gt;$C$10,M148/(1-N148+N148*M148),1)</f>
        <v>1.2607055522613177e-7</v>
      </c>
      <c r="P148" s="3">
        <f>IF(L148&gt;$C$10,1-O148*EXP(-(L148-$C$10)*$D$4/$B$4),0)</f>
        <v>1</v>
      </c>
      <c r="Q148" s="3">
        <f>IF(AND(L148&gt;$C$10,P148&gt;=$F$4,N148&lt;=$H$4),L148,"")</f>
        <v>16</v>
      </c>
    </row>
    <row r="149">
      <c r="L149" s="0">
        <v>17</v>
      </c>
      <c r="M149" s="3">
        <f>$C$10*M148/(L149+$C$10*M148)</f>
        <v>1.8076292945462497e-8</v>
      </c>
      <c r="N149" s="3">
        <f>$C$10/L149</f>
        <v>0.17647058823529413</v>
      </c>
      <c r="O149" s="3">
        <f>IF(L149&gt;$C$10,M149/(1-N149+N149*M149),1)</f>
        <v>2.1949784205896447e-8</v>
      </c>
      <c r="P149" s="3">
        <f>IF(L149&gt;$C$10,1-O149*EXP(-(L149-$C$10)*$D$4/$B$4),0)</f>
        <v>1</v>
      </c>
      <c r="Q149" s="3">
        <f>IF(AND(L149&gt;$C$10,P149&gt;=$F$4,N149&lt;=$H$4),L149,"")</f>
        <v>17</v>
      </c>
    </row>
    <row r="150">
      <c r="L150" s="0">
        <v>18</v>
      </c>
      <c r="M150" s="3">
        <f>$C$10*M149/(L150+$C$10*M149)</f>
        <v>3.0127154818339616e-9</v>
      </c>
      <c r="N150" s="3">
        <f>$C$10/L150</f>
        <v>0.16666666666666666</v>
      </c>
      <c r="O150" s="3">
        <f>IF(L150&gt;$C$10,M150/(1-N150+N150*M150),1)</f>
        <v>3.615258576022405e-9</v>
      </c>
      <c r="P150" s="3">
        <f>IF(L150&gt;$C$10,1-O150*EXP(-(L150-$C$10)*$D$4/$B$4),0)</f>
        <v>1</v>
      </c>
      <c r="Q150" s="3">
        <f>IF(AND(L150&gt;$C$10,P150&gt;=$F$4,N150&lt;=$H$4),L150,"")</f>
        <v>18</v>
      </c>
    </row>
    <row r="151">
      <c r="L151" s="0">
        <v>19</v>
      </c>
      <c r="M151" s="3">
        <f>$C$10*M150/(L151+$C$10*M150)</f>
        <v>4.756919179580269e-10</v>
      </c>
      <c r="N151" s="3">
        <f>$C$10/L151</f>
        <v>0.15789473684210525</v>
      </c>
      <c r="O151" s="3">
        <f>IF(L151&gt;$C$10,M151/(1-N151+N151*M151),1)</f>
        <v>5.648841525247737e-10</v>
      </c>
      <c r="P151" s="3">
        <f>IF(L151&gt;$C$10,1-O151*EXP(-(L151-$C$10)*$D$4/$B$4),0)</f>
        <v>1</v>
      </c>
      <c r="Q151" s="3">
        <f>IF(AND(L151&gt;$C$10,P151&gt;=$F$4,N151&lt;=$H$4),L151,"")</f>
        <v>19</v>
      </c>
    </row>
    <row r="152">
      <c r="L152" s="0">
        <v>20</v>
      </c>
      <c r="M152" s="3">
        <f>$C$10*M151/(L152+$C$10*M151)</f>
        <v>7.135378768861269e-11</v>
      </c>
      <c r="N152" s="3">
        <f>$C$10/L152</f>
        <v>0.15</v>
      </c>
      <c r="O152" s="3">
        <f>IF(L152&gt;$C$10,M152/(1-N152+N152*M152),1)</f>
        <v>8.394563257378142e-11</v>
      </c>
      <c r="P152" s="3">
        <f>IF(L152&gt;$C$10,1-O152*EXP(-(L152-$C$10)*$D$4/$B$4),0)</f>
        <v>1</v>
      </c>
      <c r="Q152" s="3">
        <f>IF(AND(L152&gt;$C$10,P152&gt;=$F$4,N152&lt;=$H$4),L152,"")</f>
        <v>20</v>
      </c>
    </row>
    <row r="153">
      <c r="L153" s="0">
        <v>21</v>
      </c>
      <c r="M153" s="3">
        <f>$C$10*M152/(L153+$C$10*M152)</f>
        <v>1.019339824112648e-11</v>
      </c>
      <c r="N153" s="3">
        <f>$C$10/L153</f>
        <v>0.14285714285714285</v>
      </c>
      <c r="O153" s="3">
        <f>IF(L153&gt;$C$10,M153/(1-N153+N153*M153),1)</f>
        <v>1.1892297947960689e-11</v>
      </c>
      <c r="P153" s="3">
        <f>IF(L153&gt;$C$10,1-O153*EXP(-(L153-$C$10)*$D$4/$B$4),0)</f>
        <v>1</v>
      </c>
      <c r="Q153" s="3">
        <f>IF(AND(L153&gt;$C$10,P153&gt;=$F$4,N153&lt;=$H$4),L153,"")</f>
        <v>21</v>
      </c>
    </row>
    <row r="154">
      <c r="L154" s="0">
        <v>22</v>
      </c>
      <c r="M154" s="3">
        <f>$C$10*M153/(L154+$C$10*M153)</f>
        <v>1.3900088510607695e-12</v>
      </c>
      <c r="N154" s="3">
        <f>$C$10/L154</f>
        <v>0.13636363636363635</v>
      </c>
      <c r="O154" s="3">
        <f>IF(L154&gt;$C$10,M154/(1-N154+N154*M154),1)</f>
        <v>1.6094839328068536e-12</v>
      </c>
      <c r="P154" s="3">
        <f>IF(L154&gt;$C$10,1-O154*EXP(-(L154-$C$10)*$D$4/$B$4),0)</f>
        <v>1</v>
      </c>
      <c r="Q154" s="3">
        <f>IF(AND(L154&gt;$C$10,P154&gt;=$F$4,N154&lt;=$H$4),L154,"")</f>
        <v>22</v>
      </c>
    </row>
    <row r="155">
      <c r="L155" s="0">
        <v>23</v>
      </c>
      <c r="M155" s="3">
        <f>$C$10*M154/(L155+$C$10*M154)</f>
        <v>1.813055023122414e-13</v>
      </c>
      <c r="N155" s="3">
        <f>$C$10/L155</f>
        <v>0.13043478260869565</v>
      </c>
      <c r="O155" s="3">
        <f>IF(L155&gt;$C$10,M155/(1-N155+N155*M155),1)</f>
        <v>2.0850132765907195e-13</v>
      </c>
      <c r="P155" s="3">
        <f>IF(L155&gt;$C$10,1-O155*EXP(-(L155-$C$10)*$D$4/$B$4),0)</f>
        <v>1</v>
      </c>
      <c r="Q155" s="3">
        <f>IF(AND(L155&gt;$C$10,P155&gt;=$F$4,N155&lt;=$H$4),L155,"")</f>
        <v>23</v>
      </c>
    </row>
    <row r="156">
      <c r="L156" s="0">
        <v>24</v>
      </c>
      <c r="M156" s="3">
        <f>$C$10*M155/(L156+$C$10*M155)</f>
        <v>2.266318778902966e-14</v>
      </c>
      <c r="N156" s="3">
        <f>$C$10/L156</f>
        <v>0.125</v>
      </c>
      <c r="O156" s="3">
        <f>IF(L156&gt;$C$10,M156/(1-N156+N156*M156),1)</f>
        <v>2.590078604460524e-14</v>
      </c>
      <c r="P156" s="3">
        <f>IF(L156&gt;$C$10,1-O156*EXP(-(L156-$C$10)*$D$4/$B$4),0)</f>
        <v>1</v>
      </c>
      <c r="Q156" s="3">
        <f>IF(AND(L156&gt;$C$10,P156&gt;=$F$4,N156&lt;=$H$4),L156,"")</f>
        <v>24</v>
      </c>
    </row>
    <row r="157">
      <c r="L157" s="0">
        <v>25</v>
      </c>
      <c r="M157" s="3">
        <f>$C$10*M156/(L157+$C$10*M156)</f>
        <v>2.719582534683552e-15</v>
      </c>
      <c r="N157" s="3">
        <f>$C$10/L157</f>
        <v>0.12</v>
      </c>
      <c r="O157" s="3">
        <f>IF(L157&gt;$C$10,M157/(1-N157+N157*M157),1)</f>
        <v>3.090434698504035e-15</v>
      </c>
      <c r="P157" s="3">
        <f>IF(L157&gt;$C$10,1-O157*EXP(-(L157-$C$10)*$D$4/$B$4),0)</f>
        <v>1</v>
      </c>
      <c r="Q157" s="3">
        <f>IF(AND(L157&gt;$C$10,P157&gt;=$F$4,N157&lt;=$H$4),L157,"")</f>
        <v>25</v>
      </c>
    </row>
    <row r="158">
      <c r="L158" s="0">
        <v>26</v>
      </c>
      <c r="M158" s="3">
        <f>$C$10*M157/(L158+$C$10*M157)</f>
        <v>3.1379798477117897e-16</v>
      </c>
      <c r="N158" s="3">
        <f>$C$10/L158</f>
        <v>0.11538461538461539</v>
      </c>
      <c r="O158" s="3">
        <f>IF(L158&gt;$C$10,M158/(1-N158+N158*M158),1)</f>
        <v>3.547281566978545e-16</v>
      </c>
      <c r="P158" s="3">
        <f>IF(L158&gt;$C$10,1-O158*EXP(-(L158-$C$10)*$D$4/$B$4),0)</f>
        <v>1</v>
      </c>
      <c r="Q158" s="3">
        <f>IF(AND(L158&gt;$C$10,P158&gt;=$F$4,N158&lt;=$H$4),L158,"")</f>
        <v>26</v>
      </c>
    </row>
    <row r="159">
      <c r="L159" s="0">
        <v>27</v>
      </c>
      <c r="M159" s="3">
        <f>$C$10*M158/(L159+$C$10*M158)</f>
        <v>3.486644275235322e-17</v>
      </c>
      <c r="N159" s="3">
        <f>$C$10/L159</f>
        <v>0.1111111111111111</v>
      </c>
      <c r="O159" s="3">
        <f>IF(L159&gt;$C$10,M159/(1-N159+N159*M159),1)</f>
        <v>3.922474809639737e-17</v>
      </c>
      <c r="P159" s="3">
        <f>IF(L159&gt;$C$10,1-O159*EXP(-(L159-$C$10)*$D$4/$B$4),0)</f>
        <v>1</v>
      </c>
      <c r="Q159" s="3">
        <f>IF(AND(L159&gt;$C$10,P159&gt;=$F$4,N159&lt;=$H$4),L159,"")</f>
        <v>27</v>
      </c>
    </row>
    <row r="160">
      <c r="L160" s="0">
        <v>28</v>
      </c>
      <c r="M160" s="3">
        <f>$C$10*M159/(L160+$C$10*M159)</f>
        <v>3.735690294894988e-18</v>
      </c>
      <c r="N160" s="3">
        <f>$C$10/L160</f>
        <v>0.10714285714285714</v>
      </c>
      <c r="O160" s="3">
        <f>IF(L160&gt;$C$10,M160/(1-N160+N160*M160),1)</f>
        <v>4.1839731302823864e-18</v>
      </c>
      <c r="P160" s="3">
        <f>IF(L160&gt;$C$10,1-O160*EXP(-(L160-$C$10)*$D$4/$B$4),0)</f>
        <v>1</v>
      </c>
      <c r="Q160" s="3">
        <f>IF(AND(L160&gt;$C$10,P160&gt;=$F$4,N160&lt;=$H$4),L160,"")</f>
        <v>28</v>
      </c>
    </row>
    <row r="161">
      <c r="L161" s="0">
        <v>29</v>
      </c>
      <c r="M161" s="3">
        <f>$C$10*M160/(L161+$C$10*M160)</f>
        <v>3.8645072016155056e-19</v>
      </c>
      <c r="N161" s="3">
        <f>$C$10/L161</f>
        <v>0.10344827586206896</v>
      </c>
      <c r="O161" s="3">
        <f>IF(L161&gt;$C$10,M161/(1-N161+N161*M161),1)</f>
        <v>4.310411878724987e-19</v>
      </c>
      <c r="P161" s="3">
        <f>IF(L161&gt;$C$10,1-O161*EXP(-(L161-$C$10)*$D$4/$B$4),0)</f>
        <v>1</v>
      </c>
      <c r="Q161" s="3">
        <f>IF(AND(L161&gt;$C$10,P161&gt;=$F$4,N161&lt;=$H$4),L161,"")</f>
        <v>29</v>
      </c>
    </row>
    <row r="162">
      <c r="L162" s="0">
        <v>30</v>
      </c>
      <c r="M162" s="3">
        <f>$C$10*M161/(L162+$C$10*M161)</f>
        <v>3.8645072016155054e-20</v>
      </c>
      <c r="N162" s="3">
        <f>$C$10/L162</f>
        <v>0.1</v>
      </c>
      <c r="O162" s="3">
        <f>IF(L162&gt;$C$10,M162/(1-N162+N162*M162),1)</f>
        <v>4.2938968906838946e-20</v>
      </c>
      <c r="P162" s="3">
        <f>IF(L162&gt;$C$10,1-O162*EXP(-(L162-$C$10)*$D$4/$B$4),0)</f>
        <v>1</v>
      </c>
      <c r="Q162" s="3">
        <f>IF(AND(L162&gt;$C$10,P162&gt;=$F$4,N162&lt;=$H$4),L162,"")</f>
        <v>30</v>
      </c>
    </row>
    <row r="163">
      <c r="L163" s="0">
        <v>31</v>
      </c>
      <c r="M163" s="3">
        <f>$C$10*M162/(L163+$C$10*M162)</f>
        <v>3.739845678982747e-21</v>
      </c>
      <c r="N163" s="3">
        <f>$C$10/L163</f>
        <v>0.0967741935483871</v>
      </c>
      <c r="O163" s="3">
        <f>IF(L163&gt;$C$10,M163/(1-N163+N163*M163),1)</f>
        <v>4.140543430302327e-21</v>
      </c>
      <c r="P163" s="3">
        <f>IF(L163&gt;$C$10,1-O163*EXP(-(L163-$C$10)*$D$4/$B$4),0)</f>
        <v>1</v>
      </c>
      <c r="Q163" s="3">
        <f>IF(AND(L163&gt;$C$10,P163&gt;=$F$4,N163&lt;=$H$4),L163,"")</f>
        <v>31</v>
      </c>
    </row>
    <row r="164">
      <c r="L164" s="0">
        <v>32</v>
      </c>
      <c r="M164" s="3">
        <f>$C$10*M163/(L164+$C$10*M163)</f>
        <v>3.5061053240463253e-22</v>
      </c>
      <c r="N164" s="3">
        <f>$C$10/L164</f>
        <v>0.09375</v>
      </c>
      <c r="O164" s="3">
        <f>IF(L164&gt;$C$10,M164/(1-N164+N164*M164),1)</f>
        <v>3.868805874809738e-22</v>
      </c>
      <c r="P164" s="3">
        <f>IF(L164&gt;$C$10,1-O164*EXP(-(L164-$C$10)*$D$4/$B$4),0)</f>
        <v>1</v>
      </c>
      <c r="Q164" s="3">
        <f>IF(AND(L164&gt;$C$10,P164&gt;=$F$4,N164&lt;=$H$4),L164,"")</f>
        <v>32</v>
      </c>
    </row>
    <row r="165">
      <c r="L165" s="0">
        <v>33</v>
      </c>
      <c r="M165" s="3">
        <f>$C$10*M164/(L165+$C$10*M164)</f>
        <v>3.1873684764057505e-23</v>
      </c>
      <c r="N165" s="3">
        <f>$C$10/L165</f>
        <v>0.09090909090909091</v>
      </c>
      <c r="O165" s="3">
        <f>IF(L165&gt;$C$10,M165/(1-N165+N165*M165),1)</f>
        <v>3.5061053240463255e-23</v>
      </c>
      <c r="P165" s="3">
        <f>IF(L165&gt;$C$10,1-O165*EXP(-(L165-$C$10)*$D$4/$B$4),0)</f>
        <v>1</v>
      </c>
      <c r="Q165" s="3">
        <f>IF(AND(L165&gt;$C$10,P165&gt;=$F$4,N165&lt;=$H$4),L165,"")</f>
        <v>33</v>
      </c>
    </row>
    <row r="166">
      <c r="L166" s="0">
        <v>34</v>
      </c>
      <c r="M166" s="3">
        <f>$C$10*M165/(L166+$C$10*M165)</f>
        <v>2.8123839497697798e-24</v>
      </c>
      <c r="N166" s="3">
        <f>$C$10/L166</f>
        <v>0.08823529411764706</v>
      </c>
      <c r="O166" s="3">
        <f>IF(L166&gt;$C$10,M166/(1-N166+N166*M166),1)</f>
        <v>3.084550138457178e-24</v>
      </c>
      <c r="P166" s="3">
        <f>IF(L166&gt;$C$10,1-O166*EXP(-(L166-$C$10)*$D$4/$B$4),0)</f>
        <v>1</v>
      </c>
      <c r="Q166" s="3">
        <f>IF(AND(L166&gt;$C$10,P166&gt;=$F$4,N166&lt;=$H$4),L166,"")</f>
        <v>34</v>
      </c>
    </row>
    <row r="167">
      <c r="L167" s="0">
        <v>35</v>
      </c>
      <c r="M167" s="3">
        <f>$C$10*M166/(L167+$C$10*M166)</f>
        <v>2.4106148140883824e-25</v>
      </c>
      <c r="N167" s="3">
        <f>$C$10/L167</f>
        <v>0.08571428571428572</v>
      </c>
      <c r="O167" s="3">
        <f>IF(L167&gt;$C$10,M167/(1-N167+N167*M167),1)</f>
        <v>2.6366099529091684e-25</v>
      </c>
      <c r="P167" s="3">
        <f>IF(L167&gt;$C$10,1-O167*EXP(-(L167-$C$10)*$D$4/$B$4),0)</f>
        <v>1</v>
      </c>
      <c r="Q167" s="3">
        <f>IF(AND(L167&gt;$C$10,P167&gt;=$F$4,N167&lt;=$H$4),L167,"")</f>
        <v>35</v>
      </c>
    </row>
    <row r="168">
      <c r="L168" s="0">
        <v>36</v>
      </c>
      <c r="M168" s="3">
        <f>$C$10*M167/(L168+$C$10*M167)</f>
        <v>2.0088456784069854e-26</v>
      </c>
      <c r="N168" s="3">
        <f>$C$10/L168</f>
        <v>0.08333333333333333</v>
      </c>
      <c r="O168" s="3">
        <f>IF(L168&gt;$C$10,M168/(1-N168+N168*M168),1)</f>
        <v>2.1914680128076203e-26</v>
      </c>
      <c r="P168" s="3">
        <f>IF(L168&gt;$C$10,1-O168*EXP(-(L168-$C$10)*$D$4/$B$4),0)</f>
        <v>1</v>
      </c>
      <c r="Q168" s="3">
        <f>IF(AND(L168&gt;$C$10,P168&gt;=$F$4,N168&lt;=$H$4),L168,"")</f>
        <v>36</v>
      </c>
    </row>
    <row r="169">
      <c r="L169" s="0">
        <v>37</v>
      </c>
      <c r="M169" s="3">
        <f>$C$10*M168/(L169+$C$10*M168)</f>
        <v>1.628793793302961e-27</v>
      </c>
      <c r="N169" s="3">
        <f>$C$10/L169</f>
        <v>0.08108108108108109</v>
      </c>
      <c r="O169" s="3">
        <f>IF(L169&gt;$C$10,M169/(1-N169+N169*M169),1)</f>
        <v>1.7725108927120458e-27</v>
      </c>
      <c r="P169" s="3">
        <f>IF(L169&gt;$C$10,1-O169*EXP(-(L169-$C$10)*$D$4/$B$4),0)</f>
        <v>1</v>
      </c>
      <c r="Q169" s="3">
        <f>IF(AND(L169&gt;$C$10,P169&gt;=$F$4,N169&lt;=$H$4),L169,"")</f>
        <v>37</v>
      </c>
    </row>
    <row r="170">
      <c r="L170" s="0">
        <v>38</v>
      </c>
      <c r="M170" s="3">
        <f>$C$10*M169/(L170+$C$10*M169)</f>
        <v>1.2858898368181271e-28</v>
      </c>
      <c r="N170" s="3">
        <f>$C$10/L170</f>
        <v>0.07894736842105263</v>
      </c>
      <c r="O170" s="3">
        <f>IF(L170&gt;$C$10,M170/(1-N170+N170*M170),1)</f>
        <v>1.3961089656882524e-28</v>
      </c>
      <c r="P170" s="3">
        <f>IF(L170&gt;$C$10,1-O170*EXP(-(L170-$C$10)*$D$4/$B$4),0)</f>
        <v>1</v>
      </c>
      <c r="Q170" s="3">
        <f>IF(AND(L170&gt;$C$10,P170&gt;=$F$4,N170&lt;=$H$4),L170,"")</f>
        <v>38</v>
      </c>
    </row>
    <row r="171">
      <c r="L171" s="0">
        <v>39</v>
      </c>
      <c r="M171" s="3">
        <f>$C$10*M170/(L171+$C$10*M170)</f>
        <v>9.891460283216363e-30</v>
      </c>
      <c r="N171" s="3">
        <f>$C$10/L171</f>
        <v>0.07692307692307693</v>
      </c>
      <c r="O171" s="3">
        <f>IF(L171&gt;$C$10,M171/(1-N171+N171*M171),1)</f>
        <v>1.0715748640151059e-29</v>
      </c>
      <c r="P171" s="3">
        <f>IF(L171&gt;$C$10,1-O171*EXP(-(L171-$C$10)*$D$4/$B$4),0)</f>
        <v>1</v>
      </c>
      <c r="Q171" s="3">
        <f>IF(AND(L171&gt;$C$10,P171&gt;=$F$4,N171&lt;=$H$4),L171,"")</f>
        <v>39</v>
      </c>
    </row>
    <row r="172">
      <c r="L172" s="0">
        <v>40</v>
      </c>
      <c r="M172" s="3">
        <f>$C$10*M171/(L172+$C$10*M171)</f>
        <v>7.4185952124122725e-31</v>
      </c>
      <c r="N172" s="3">
        <f>$C$10/L172</f>
        <v>0.075</v>
      </c>
      <c r="O172" s="3">
        <f>IF(L172&gt;$C$10,M172/(1-N172+N172*M172),1)</f>
        <v>8.020102932337591e-31</v>
      </c>
      <c r="P172" s="3">
        <f>IF(L172&gt;$C$10,1-O172*EXP(-(L172-$C$10)*$D$4/$B$4),0)</f>
        <v>1</v>
      </c>
      <c r="Q172" s="3">
        <f>IF(AND(L172&gt;$C$10,P172&gt;=$F$4,N172&lt;=$H$4),L172,"")</f>
        <v>40</v>
      </c>
    </row>
    <row r="174">
      <c r="L174" s="1" t="inlineStr">
        <is>
          <t xml:space="preserve">c</t>
        </is>
      </c>
      <c r="M174" s="1" t="inlineStr">
        <is>
          <t xml:space="preserve">Erlang B</t>
        </is>
      </c>
      <c r="N174" s="1" t="inlineStr">
        <is>
          <t xml:space="preserve">ρ</t>
        </is>
      </c>
      <c r="O174" s="1" t="inlineStr">
        <is>
          <t xml:space="preserve">P espera</t>
        </is>
      </c>
      <c r="P174" s="1" t="inlineStr">
        <is>
          <t xml:space="preserve">SL</t>
        </is>
      </c>
      <c r="Q174" s="1" t="inlineStr">
        <is>
          <t xml:space="preserve">c factible</t>
        </is>
      </c>
    </row>
    <row r="175">
      <c r="L175" s="0">
        <v>1</v>
      </c>
      <c r="M175" s="3">
        <f>$C$11/(1+$C$11)</f>
        <v>0.6666666666666666</v>
      </c>
      <c r="N175" s="3">
        <f>$C$11/L175</f>
        <v>2</v>
      </c>
      <c r="O175" s="3">
        <f>IF(L175&gt;$C$11,M175/(1-N175+N175*M175),1)</f>
        <v>1</v>
      </c>
      <c r="P175" s="3">
        <f>IF(L175&gt;$C$11,1-O175*EXP(-(L175-$C$11)*$D$4/$B$4),0)</f>
        <v>0</v>
      </c>
      <c r="Q175" s="3" t="str">
        <f>IF(AND(L175&gt;$C$11,P175&gt;=$F$4,N175&lt;=$H$4),L175,"")</f>
        <v/>
      </c>
    </row>
    <row r="176">
      <c r="L176" s="0">
        <v>2</v>
      </c>
      <c r="M176" s="3">
        <f>$C$11*M175/(L176+$C$11*M175)</f>
        <v>0.4</v>
      </c>
      <c r="N176" s="3">
        <f>$C$11/L176</f>
        <v>1</v>
      </c>
      <c r="O176" s="3">
        <f>IF(L176&gt;$C$11,M176/(1-N176+N176*M176),1)</f>
        <v>1</v>
      </c>
      <c r="P176" s="3">
        <f>IF(L176&gt;$C$11,1-O176*EXP(-(L176-$C$11)*$D$4/$B$4),0)</f>
        <v>0</v>
      </c>
      <c r="Q176" s="3" t="str">
        <f>IF(AND(L176&gt;$C$11,P176&gt;=$F$4,N176&lt;=$H$4),L176,"")</f>
        <v/>
      </c>
    </row>
    <row r="177">
      <c r="L177" s="0">
        <v>3</v>
      </c>
      <c r="M177" s="3">
        <f>$C$11*M176/(L177+$C$11*M176)</f>
        <v>0.2105263157894737</v>
      </c>
      <c r="N177" s="3">
        <f>$C$11/L177</f>
        <v>0.6666666666666666</v>
      </c>
      <c r="O177" s="3">
        <f>IF(L177&gt;$C$11,M177/(1-N177+N177*M177),1)</f>
        <v>0.4444444444444445</v>
      </c>
      <c r="P177" s="3">
        <f>IF(L177&gt;$C$11,1-O177*EXP(-(L177-$C$11)*$D$4/$B$4),0)</f>
        <v>0.9398509852281721</v>
      </c>
      <c r="Q177" s="3">
        <f>IF(AND(L177&gt;$C$11,P177&gt;=$F$4,N177&lt;=$H$4),L177,"")</f>
        <v>3</v>
      </c>
    </row>
    <row r="178">
      <c r="L178" s="0">
        <v>4</v>
      </c>
      <c r="M178" s="3">
        <f>$C$11*M177/(L178+$C$11*M177)</f>
        <v>0.09523809523809523</v>
      </c>
      <c r="N178" s="3">
        <f>$C$11/L178</f>
        <v>0.5</v>
      </c>
      <c r="O178" s="3">
        <f>IF(L178&gt;$C$11,M178/(1-N178+N178*M178),1)</f>
        <v>0.17391304347826084</v>
      </c>
      <c r="P178" s="3">
        <f>IF(L178&gt;$C$11,1-O178*EXP(-(L178-$C$11)*$D$4/$B$4),0)</f>
        <v>0.9968146714976115</v>
      </c>
      <c r="Q178" s="3">
        <f>IF(AND(L178&gt;$C$11,P178&gt;=$F$4,N178&lt;=$H$4),L178,"")</f>
        <v>4</v>
      </c>
    </row>
    <row r="179">
      <c r="L179" s="0">
        <v>5</v>
      </c>
      <c r="M179" s="3">
        <f>$C$11*M178/(L179+$C$11*M178)</f>
        <v>0.03669724770642201</v>
      </c>
      <c r="N179" s="3">
        <f>$C$11/L179</f>
        <v>0.4</v>
      </c>
      <c r="O179" s="3">
        <f>IF(L179&gt;$C$11,M179/(1-N179+N179*M179),1)</f>
        <v>0.059701492537313425</v>
      </c>
      <c r="P179" s="3">
        <f>IF(L179&gt;$C$11,1-O179*EXP(-(L179-$C$11)*$D$4/$B$4),0)</f>
        <v>0.9998520147954228</v>
      </c>
      <c r="Q179" s="3">
        <f>IF(AND(L179&gt;$C$11,P179&gt;=$F$4,N179&lt;=$H$4),L179,"")</f>
        <v>5</v>
      </c>
    </row>
    <row r="180">
      <c r="L180" s="0">
        <v>6</v>
      </c>
      <c r="M180" s="3">
        <f>$C$11*M179/(L180+$C$11*M179)</f>
        <v>0.012084592145015106</v>
      </c>
      <c r="N180" s="3">
        <f>$C$11/L180</f>
        <v>0.3333333333333333</v>
      </c>
      <c r="O180" s="3">
        <f>IF(L180&gt;$C$11,M180/(1-N180+N180*M180),1)</f>
        <v>0.018018018018018014</v>
      </c>
      <c r="P180" s="3">
        <f>IF(L180&gt;$C$11,1-O180*EXP(-(L180-$C$11)*$D$4/$B$4),0)</f>
        <v>0.999993955628326</v>
      </c>
      <c r="Q180" s="3">
        <f>IF(AND(L180&gt;$C$11,P180&gt;=$F$4,N180&lt;=$H$4),L180,"")</f>
        <v>6</v>
      </c>
    </row>
    <row r="181">
      <c r="L181" s="0">
        <v>7</v>
      </c>
      <c r="M181" s="3">
        <f>$C$11*M180/(L181+$C$11*M180)</f>
        <v>0.0034408602150537634</v>
      </c>
      <c r="N181" s="3">
        <f>$C$11/L181</f>
        <v>0.2857142857142857</v>
      </c>
      <c r="O181" s="3">
        <f>IF(L181&gt;$C$11,M181/(1-N181+N181*M181),1)</f>
        <v>0.00481058328322309</v>
      </c>
      <c r="P181" s="3">
        <f>IF(L181&gt;$C$11,1-O181*EXP(-(L181-$C$11)*$D$4/$B$4),0)</f>
        <v>0.9999997815998568</v>
      </c>
      <c r="Q181" s="3">
        <f>IF(AND(L181&gt;$C$11,P181&gt;=$F$4,N181&lt;=$H$4),L181,"")</f>
        <v>7</v>
      </c>
    </row>
    <row r="182">
      <c r="L182" s="0">
        <v>8</v>
      </c>
      <c r="M182" s="3">
        <f>$C$11*M181/(L182+$C$11*M181)</f>
        <v>0.0008594757198109153</v>
      </c>
      <c r="N182" s="3">
        <f>$C$11/L182</f>
        <v>0.25</v>
      </c>
      <c r="O182" s="3">
        <f>IF(L182&gt;$C$11,M182/(1-N182+N182*M182),1)</f>
        <v>0.0011456394099957038</v>
      </c>
      <c r="P182" s="3">
        <f>IF(L182&gt;$C$11,1-O182*EXP(-(L182-$C$11)*$D$4/$B$4),0)</f>
        <v>0.9999999929609482</v>
      </c>
      <c r="Q182" s="3">
        <f>IF(AND(L182&gt;$C$11,P182&gt;=$F$4,N182&lt;=$H$4),L182,"")</f>
        <v>8</v>
      </c>
    </row>
    <row r="183">
      <c r="L183" s="0">
        <v>9</v>
      </c>
      <c r="M183" s="3">
        <f>$C$11*M182/(L183+$C$11*M182)</f>
        <v>0.0001909581324294648</v>
      </c>
      <c r="N183" s="3">
        <f>$C$11/L183</f>
        <v>0.2222222222222222</v>
      </c>
      <c r="O183" s="3">
        <f>IF(L183&gt;$C$11,M183/(1-N183+N183*M183),1)</f>
        <v>0.0002455042042594979</v>
      </c>
      <c r="P183" s="3">
        <f>IF(L183&gt;$C$11,1-O183*EXP(-(L183-$C$11)*$D$4/$B$4),0)</f>
        <v>0.9999999997958562</v>
      </c>
      <c r="Q183" s="3">
        <f>IF(AND(L183&gt;$C$11,P183&gt;=$F$4,N183&lt;=$H$4),L183,"")</f>
        <v>9</v>
      </c>
    </row>
    <row r="184">
      <c r="L184" s="0">
        <v>10</v>
      </c>
      <c r="M184" s="3">
        <f>$C$11*M183/(L184+$C$11*M183)</f>
        <v>0.000038190167941263515</v>
      </c>
      <c r="N184" s="3">
        <f>$C$11/L184</f>
        <v>0.2</v>
      </c>
      <c r="O184" s="3">
        <f>IF(L184&gt;$C$11,M184/(1-N184+N184*M184),1)</f>
        <v>0.0000477372541531411</v>
      </c>
      <c r="P184" s="3">
        <f>IF(L184&gt;$C$11,1-O184*EXP(-(L184-$C$11)*$D$4/$B$4),0)</f>
        <v>0.9999999999946279</v>
      </c>
      <c r="Q184" s="3">
        <f>IF(AND(L184&gt;$C$11,P184&gt;=$F$4,N184&lt;=$H$4),L184,"")</f>
        <v>10</v>
      </c>
    </row>
    <row r="185">
      <c r="L185" s="0">
        <v>11</v>
      </c>
      <c r="M185" s="3">
        <f>$C$11*M184/(L185+$C$11*M184)</f>
        <v>0.000006943618684236335</v>
      </c>
      <c r="N185" s="3">
        <f>$C$11/L185</f>
        <v>0.18181818181818182</v>
      </c>
      <c r="O185" s="3">
        <f>IF(L185&gt;$C$11,M185/(1-N185+N185*M185),1)</f>
        <v>0.000008486631963414128</v>
      </c>
      <c r="P185" s="3">
        <f>IF(L185&gt;$C$11,1-O185*EXP(-(L185-$C$11)*$D$4/$B$4),0)</f>
        <v>0.9999999999998708</v>
      </c>
      <c r="Q185" s="3">
        <f>IF(AND(L185&gt;$C$11,P185&gt;=$F$4,N185&lt;=$H$4),L185,"")</f>
        <v>11</v>
      </c>
    </row>
    <row r="186">
      <c r="L186" s="0">
        <v>12</v>
      </c>
      <c r="M186" s="3">
        <f>$C$11*M185/(L186+$C$11*M185)</f>
        <v>0.0000011572684414342603</v>
      </c>
      <c r="N186" s="3">
        <f>$C$11/L186</f>
        <v>0.16666666666666666</v>
      </c>
      <c r="O186" s="3">
        <f>IF(L186&gt;$C$11,M186/(1-N186+N186*M186),1)</f>
        <v>0.0000013887218082963278</v>
      </c>
      <c r="P186" s="3">
        <f>IF(L186&gt;$C$11,1-O186*EXP(-(L186-$C$11)*$D$4/$B$4),0)</f>
        <v>0.9999999999999971</v>
      </c>
      <c r="Q186" s="3">
        <f>IF(AND(L186&gt;$C$11,P186&gt;=$F$4,N186&lt;=$H$4),L186,"")</f>
        <v>12</v>
      </c>
    </row>
    <row r="187">
      <c r="L187" s="0">
        <v>13</v>
      </c>
      <c r="M187" s="3">
        <f>$C$11*M186/(L187+$C$11*M186)</f>
        <v>1.7804126698349552e-7</v>
      </c>
      <c r="N187" s="3">
        <f>$C$11/L187</f>
        <v>0.15384615384615385</v>
      </c>
      <c r="O187" s="3">
        <f>IF(L187&gt;$C$11,M187/(1-N187+N187*M187),1)</f>
        <v>2.1041239962375102e-7</v>
      </c>
      <c r="P187" s="3">
        <f>IF(L187&gt;$C$11,1-O187*EXP(-(L187-$C$11)*$D$4/$B$4),0)</f>
        <v>0.9999999999999999</v>
      </c>
      <c r="Q187" s="3">
        <f>IF(AND(L187&gt;$C$11,P187&gt;=$F$4,N187&lt;=$H$4),L187,"")</f>
        <v>13</v>
      </c>
    </row>
    <row r="188">
      <c r="L188" s="0">
        <v>14</v>
      </c>
      <c r="M188" s="3">
        <f>$C$11*M187/(L188+$C$11*M187)</f>
        <v>2.543446606501585e-8</v>
      </c>
      <c r="N188" s="3">
        <f>$C$11/L188</f>
        <v>0.14285714285714285</v>
      </c>
      <c r="O188" s="3">
        <f>IF(L188&gt;$C$11,M188/(1-N188+N188*M188),1)</f>
        <v>2.9673543616730034e-8</v>
      </c>
      <c r="P188" s="3">
        <f>IF(L188&gt;$C$11,1-O188*EXP(-(L188-$C$11)*$D$4/$B$4),0)</f>
        <v>1</v>
      </c>
      <c r="Q188" s="3">
        <f>IF(AND(L188&gt;$C$11,P188&gt;=$F$4,N188&lt;=$H$4),L188,"")</f>
        <v>14</v>
      </c>
    </row>
    <row r="189">
      <c r="L189" s="0">
        <v>15</v>
      </c>
      <c r="M189" s="3">
        <f>$C$11*M188/(L189+$C$11*M188)</f>
        <v>3.3912621305014546e-9</v>
      </c>
      <c r="N189" s="3">
        <f>$C$11/L189</f>
        <v>0.13333333333333333</v>
      </c>
      <c r="O189" s="3">
        <f>IF(L189&gt;$C$11,M189/(1-N189+N189*M189),1)</f>
        <v>3.91299476392168e-9</v>
      </c>
      <c r="P189" s="3">
        <f>IF(L189&gt;$C$11,1-O189*EXP(-(L189-$C$11)*$D$4/$B$4),0)</f>
        <v>1</v>
      </c>
      <c r="Q189" s="3">
        <f>IF(AND(L189&gt;$C$11,P189&gt;=$F$4,N189&lt;=$H$4),L189,"")</f>
        <v>15</v>
      </c>
    </row>
    <row r="190">
      <c r="L190" s="0">
        <v>16</v>
      </c>
      <c r="M190" s="3">
        <f>$C$11*M189/(L190+$C$11*M189)</f>
        <v>4.23907766132984e-10</v>
      </c>
      <c r="N190" s="3">
        <f>$C$11/L190</f>
        <v>0.125</v>
      </c>
      <c r="O190" s="3">
        <f>IF(L190&gt;$C$11,M190/(1-N190+N190*M190),1)</f>
        <v>4.844660184083576e-10</v>
      </c>
      <c r="P190" s="3">
        <f>IF(L190&gt;$C$11,1-O190*EXP(-(L190-$C$11)*$D$4/$B$4),0)</f>
        <v>1</v>
      </c>
      <c r="Q190" s="3">
        <f>IF(AND(L190&gt;$C$11,P190&gt;=$F$4,N190&lt;=$H$4),L190,"")</f>
        <v>16</v>
      </c>
    </row>
    <row r="191">
      <c r="L191" s="0">
        <v>17</v>
      </c>
      <c r="M191" s="3">
        <f>$C$11*M190/(L191+$C$11*M190)</f>
        <v>4.987150189551095e-11</v>
      </c>
      <c r="N191" s="3">
        <f>$C$11/L191</f>
        <v>0.11764705882352941</v>
      </c>
      <c r="O191" s="3">
        <f>IF(L191&gt;$C$11,M191/(1-N191+N191*M191),1)</f>
        <v>5.652103548120325e-11</v>
      </c>
      <c r="P191" s="3">
        <f>IF(L191&gt;$C$11,1-O191*EXP(-(L191-$C$11)*$D$4/$B$4),0)</f>
        <v>1</v>
      </c>
      <c r="Q191" s="3">
        <f>IF(AND(L191&gt;$C$11,P191&gt;=$F$4,N191&lt;=$H$4),L191,"")</f>
        <v>17</v>
      </c>
    </row>
    <row r="192">
      <c r="L192" s="0">
        <v>18</v>
      </c>
      <c r="M192" s="3">
        <f>$C$11*M191/(L192+$C$11*M191)</f>
        <v>5.5412779883594e-12</v>
      </c>
      <c r="N192" s="3">
        <f>$C$11/L192</f>
        <v>0.1111111111111111</v>
      </c>
      <c r="O192" s="3">
        <f>IF(L192&gt;$C$11,M192/(1-N192+N192*M192),1)</f>
        <v>6.2339377369000076e-12</v>
      </c>
      <c r="P192" s="3">
        <f>IF(L192&gt;$C$11,1-O192*EXP(-(L192-$C$11)*$D$4/$B$4),0)</f>
        <v>1</v>
      </c>
      <c r="Q192" s="3">
        <f>IF(AND(L192&gt;$C$11,P192&gt;=$F$4,N192&lt;=$H$4),L192,"")</f>
        <v>18</v>
      </c>
    </row>
    <row r="193">
      <c r="L193" s="0">
        <v>19</v>
      </c>
      <c r="M193" s="3">
        <f>$C$11*M192/(L193+$C$11*M192)</f>
        <v>5.832924198269651e-13</v>
      </c>
      <c r="N193" s="3">
        <f>$C$11/L193</f>
        <v>0.10526315789473684</v>
      </c>
      <c r="O193" s="3">
        <f>IF(L193&gt;$C$11,M193/(1-N193+N193*M193),1)</f>
        <v>6.519150574536222e-13</v>
      </c>
      <c r="P193" s="3">
        <f>IF(L193&gt;$C$11,1-O193*EXP(-(L193-$C$11)*$D$4/$B$4),0)</f>
        <v>1</v>
      </c>
      <c r="Q193" s="3">
        <f>IF(AND(L193&gt;$C$11,P193&gt;=$F$4,N193&lt;=$H$4),L193,"")</f>
        <v>19</v>
      </c>
    </row>
    <row r="194">
      <c r="L194" s="0">
        <v>20</v>
      </c>
      <c r="M194" s="3">
        <f>$C$11*M193/(L194+$C$11*M193)</f>
        <v>5.832924198269311e-14</v>
      </c>
      <c r="N194" s="3">
        <f>$C$11/L194</f>
        <v>0.1</v>
      </c>
      <c r="O194" s="3">
        <f>IF(L194&gt;$C$11,M194/(1-N194+N194*M194),1)</f>
        <v>6.481026886965858e-14</v>
      </c>
      <c r="P194" s="3">
        <f>IF(L194&gt;$C$11,1-O194*EXP(-(L194-$C$11)*$D$4/$B$4),0)</f>
        <v>1</v>
      </c>
      <c r="Q194" s="3">
        <f>IF(AND(L194&gt;$C$11,P194&gt;=$F$4,N194&lt;=$H$4),L194,"")</f>
        <v>20</v>
      </c>
    </row>
    <row r="195">
      <c r="L195" s="0">
        <v>21</v>
      </c>
      <c r="M195" s="3">
        <f>$C$11*M194/(L195+$C$11*M194)</f>
        <v>5.555165903113598e-15</v>
      </c>
      <c r="N195" s="3">
        <f>$C$11/L195</f>
        <v>0.09523809523809523</v>
      </c>
      <c r="O195" s="3">
        <f>IF(L195&gt;$C$11,M195/(1-N195+N195*M195),1)</f>
        <v>6.139920208704499e-15</v>
      </c>
      <c r="P195" s="3">
        <f>IF(L195&gt;$C$11,1-O195*EXP(-(L195-$C$11)*$D$4/$B$4),0)</f>
        <v>1</v>
      </c>
      <c r="Q195" s="3">
        <f>IF(AND(L195&gt;$C$11,P195&gt;=$F$4,N195&lt;=$H$4),L195,"")</f>
        <v>21</v>
      </c>
    </row>
    <row r="196">
      <c r="L196" s="0">
        <v>22</v>
      </c>
      <c r="M196" s="3">
        <f>$C$11*M195/(L196+$C$11*M195)</f>
        <v>5.05015082101236e-16</v>
      </c>
      <c r="N196" s="3">
        <f>$C$11/L196</f>
        <v>0.09090909090909091</v>
      </c>
      <c r="O196" s="3">
        <f>IF(L196&gt;$C$11,M196/(1-N196+N196*M196),1)</f>
        <v>5.555165903113596e-16</v>
      </c>
      <c r="P196" s="3">
        <f>IF(L196&gt;$C$11,1-O196*EXP(-(L196-$C$11)*$D$4/$B$4),0)</f>
        <v>1</v>
      </c>
      <c r="Q196" s="3">
        <f>IF(AND(L196&gt;$C$11,P196&gt;=$F$4,N196&lt;=$H$4),L196,"")</f>
        <v>22</v>
      </c>
    </row>
    <row r="197">
      <c r="L197" s="0">
        <v>23</v>
      </c>
      <c r="M197" s="3">
        <f>$C$11*M196/(L197+$C$11*M196)</f>
        <v>4.3914354965324873e-17</v>
      </c>
      <c r="N197" s="3">
        <f>$C$11/L197</f>
        <v>0.08695652173913043</v>
      </c>
      <c r="O197" s="3">
        <f>IF(L197&gt;$C$11,M197/(1-N197+N197*M197),1)</f>
        <v>4.8096674485832e-17</v>
      </c>
      <c r="P197" s="3">
        <f>IF(L197&gt;$C$11,1-O197*EXP(-(L197-$C$11)*$D$4/$B$4),0)</f>
        <v>1</v>
      </c>
      <c r="Q197" s="3">
        <f>IF(AND(L197&gt;$C$11,P197&gt;=$F$4,N197&lt;=$H$4),L197,"")</f>
        <v>23</v>
      </c>
    </row>
    <row r="198">
      <c r="L198" s="0">
        <v>24</v>
      </c>
      <c r="M198" s="3">
        <f>$C$11*M197/(L198+$C$11*M197)</f>
        <v>3.6595295804437394e-18</v>
      </c>
      <c r="N198" s="3">
        <f>$C$11/L198</f>
        <v>0.08333333333333333</v>
      </c>
      <c r="O198" s="3">
        <f>IF(L198&gt;$C$11,M198/(1-N198+N198*M198),1)</f>
        <v>3.992214087756807e-18</v>
      </c>
      <c r="P198" s="3">
        <f>IF(L198&gt;$C$11,1-O198*EXP(-(L198-$C$11)*$D$4/$B$4),0)</f>
        <v>1</v>
      </c>
      <c r="Q198" s="3">
        <f>IF(AND(L198&gt;$C$11,P198&gt;=$F$4,N198&lt;=$H$4),L198,"")</f>
        <v>24</v>
      </c>
    </row>
    <row r="199">
      <c r="L199" s="0">
        <v>25</v>
      </c>
      <c r="M199" s="3">
        <f>$C$11*M198/(L199+$C$11*M198)</f>
        <v>2.9276236643549914e-19</v>
      </c>
      <c r="N199" s="3">
        <f>$C$11/L199</f>
        <v>0.08</v>
      </c>
      <c r="O199" s="3">
        <f>IF(L199&gt;$C$11,M199/(1-N199+N199*M199),1)</f>
        <v>3.182199635168469e-19</v>
      </c>
      <c r="P199" s="3">
        <f>IF(L199&gt;$C$11,1-O199*EXP(-(L199-$C$11)*$D$4/$B$4),0)</f>
        <v>1</v>
      </c>
      <c r="Q199" s="3">
        <f>IF(AND(L199&gt;$C$11,P199&gt;=$F$4,N199&lt;=$H$4),L199,"")</f>
        <v>25</v>
      </c>
    </row>
    <row r="200">
      <c r="L200" s="0">
        <v>26</v>
      </c>
      <c r="M200" s="3">
        <f>$C$11*M199/(L200+$C$11*M199)</f>
        <v>2.2520182033499934e-20</v>
      </c>
      <c r="N200" s="3">
        <f>$C$11/L200</f>
        <v>0.07692307692307693</v>
      </c>
      <c r="O200" s="3">
        <f>IF(L200&gt;$C$11,M200/(1-N200+N200*M200),1)</f>
        <v>2.4396863869624926e-20</v>
      </c>
      <c r="P200" s="3">
        <f>IF(L200&gt;$C$11,1-O200*EXP(-(L200-$C$11)*$D$4/$B$4),0)</f>
        <v>1</v>
      </c>
      <c r="Q200" s="3">
        <f>IF(AND(L200&gt;$C$11,P200&gt;=$F$4,N200&lt;=$H$4),L200,"")</f>
        <v>26</v>
      </c>
    </row>
    <row r="201">
      <c r="L201" s="0">
        <v>27</v>
      </c>
      <c r="M201" s="3">
        <f>$C$11*M200/(L201+$C$11*M200)</f>
        <v>1.6681616321111061e-21</v>
      </c>
      <c r="N201" s="3">
        <f>$C$11/L201</f>
        <v>0.07407407407407407</v>
      </c>
      <c r="O201" s="3">
        <f>IF(L201&gt;$C$11,M201/(1-N201+N201*M201),1)</f>
        <v>1.8016145626799947e-21</v>
      </c>
      <c r="P201" s="3">
        <f>IF(L201&gt;$C$11,1-O201*EXP(-(L201-$C$11)*$D$4/$B$4),0)</f>
        <v>1</v>
      </c>
      <c r="Q201" s="3">
        <f>IF(AND(L201&gt;$C$11,P201&gt;=$F$4,N201&lt;=$H$4),L201,"")</f>
        <v>27</v>
      </c>
    </row>
    <row r="202">
      <c r="L202" s="0">
        <v>28</v>
      </c>
      <c r="M202" s="3">
        <f>$C$11*M201/(L202+$C$11*M201)</f>
        <v>1.1915440229365044e-22</v>
      </c>
      <c r="N202" s="3">
        <f>$C$11/L202</f>
        <v>0.07142857142857142</v>
      </c>
      <c r="O202" s="3">
        <f>IF(L202&gt;$C$11,M202/(1-N202+N202*M202),1)</f>
        <v>1.2832012554700816e-22</v>
      </c>
      <c r="P202" s="3">
        <f>IF(L202&gt;$C$11,1-O202*EXP(-(L202-$C$11)*$D$4/$B$4),0)</f>
        <v>1</v>
      </c>
      <c r="Q202" s="3">
        <f>IF(AND(L202&gt;$C$11,P202&gt;=$F$4,N202&lt;=$H$4),L202,"")</f>
        <v>28</v>
      </c>
    </row>
    <row r="203">
      <c r="L203" s="0">
        <v>29</v>
      </c>
      <c r="M203" s="3">
        <f>$C$11*M202/(L203+$C$11*M202)</f>
        <v>8.217544985768996e-24</v>
      </c>
      <c r="N203" s="3">
        <f>$C$11/L203</f>
        <v>0.06896551724137931</v>
      </c>
      <c r="O203" s="3">
        <f>IF(L203&gt;$C$11,M203/(1-N203+N203*M203),1)</f>
        <v>8.826252021751885e-24</v>
      </c>
      <c r="P203" s="3">
        <f>IF(L203&gt;$C$11,1-O203*EXP(-(L203-$C$11)*$D$4/$B$4),0)</f>
        <v>1</v>
      </c>
      <c r="Q203" s="3">
        <f>IF(AND(L203&gt;$C$11,P203&gt;=$F$4,N203&lt;=$H$4),L203,"")</f>
        <v>29</v>
      </c>
    </row>
    <row r="204">
      <c r="L204" s="0">
        <v>30</v>
      </c>
      <c r="M204" s="3">
        <f>$C$11*M203/(L204+$C$11*M203)</f>
        <v>5.478363323845997e-25</v>
      </c>
      <c r="N204" s="3">
        <f>$C$11/L204</f>
        <v>0.06666666666666667</v>
      </c>
      <c r="O204" s="3">
        <f>IF(L204&gt;$C$11,M204/(1-N204+N204*M204),1)</f>
        <v>5.869674989834997e-25</v>
      </c>
      <c r="P204" s="3">
        <f>IF(L204&gt;$C$11,1-O204*EXP(-(L204-$C$11)*$D$4/$B$4),0)</f>
        <v>1</v>
      </c>
      <c r="Q204" s="3">
        <f>IF(AND(L204&gt;$C$11,P204&gt;=$F$4,N204&lt;=$H$4),L204,"")</f>
        <v>30</v>
      </c>
    </row>
    <row r="205">
      <c r="L205" s="0">
        <v>31</v>
      </c>
      <c r="M205" s="3">
        <f>$C$11*M204/(L205+$C$11*M204)</f>
        <v>3.5344279508683854e-26</v>
      </c>
      <c r="N205" s="3">
        <f>$C$11/L205</f>
        <v>0.06451612903225806</v>
      </c>
      <c r="O205" s="3">
        <f>IF(L205&gt;$C$11,M205/(1-N205+N205*M205),1)</f>
        <v>3.7781816026524115e-26</v>
      </c>
      <c r="P205" s="3">
        <f>IF(L205&gt;$C$11,1-O205*EXP(-(L205-$C$11)*$D$4/$B$4),0)</f>
        <v>1</v>
      </c>
      <c r="Q205" s="3">
        <f>IF(AND(L205&gt;$C$11,P205&gt;=$F$4,N205&lt;=$H$4),L205,"")</f>
        <v>31</v>
      </c>
    </row>
    <row r="206">
      <c r="L206" s="0">
        <v>32</v>
      </c>
      <c r="M206" s="3">
        <f>$C$11*M205/(L206+$C$11*M205)</f>
        <v>2.209017469292741e-27</v>
      </c>
      <c r="N206" s="3">
        <f>$C$11/L206</f>
        <v>0.0625</v>
      </c>
      <c r="O206" s="3">
        <f>IF(L206&gt;$C$11,M206/(1-N206+N206*M206),1)</f>
        <v>2.3562853005789238e-27</v>
      </c>
      <c r="P206" s="3">
        <f>IF(L206&gt;$C$11,1-O206*EXP(-(L206-$C$11)*$D$4/$B$4),0)</f>
        <v>1</v>
      </c>
      <c r="Q206" s="3">
        <f>IF(AND(L206&gt;$C$11,P206&gt;=$F$4,N206&lt;=$H$4),L206,"")</f>
        <v>32</v>
      </c>
    </row>
    <row r="207">
      <c r="L207" s="0">
        <v>33</v>
      </c>
      <c r="M207" s="3">
        <f>$C$11*M206/(L207+$C$11*M206)</f>
        <v>1.3387984662380248e-28</v>
      </c>
      <c r="N207" s="3">
        <f>$C$11/L207</f>
        <v>0.06060606060606061</v>
      </c>
      <c r="O207" s="3">
        <f>IF(L207&gt;$C$11,M207/(1-N207+N207*M207),1)</f>
        <v>1.4251725608340263e-28</v>
      </c>
      <c r="P207" s="3">
        <f>IF(L207&gt;$C$11,1-O207*EXP(-(L207-$C$11)*$D$4/$B$4),0)</f>
        <v>1</v>
      </c>
      <c r="Q207" s="3">
        <f>IF(AND(L207&gt;$C$11,P207&gt;=$F$4,N207&lt;=$H$4),L207,"")</f>
        <v>33</v>
      </c>
    </row>
    <row r="208">
      <c r="L208" s="0">
        <v>34</v>
      </c>
      <c r="M208" s="3">
        <f>$C$11*M207/(L208+$C$11*M207)</f>
        <v>7.875285095517794e-30</v>
      </c>
      <c r="N208" s="3">
        <f>$C$11/L208</f>
        <v>0.058823529411764705</v>
      </c>
      <c r="O208" s="3">
        <f>IF(L208&gt;$C$11,M208/(1-N208+N208*M208),1)</f>
        <v>8.367490413987657e-30</v>
      </c>
      <c r="P208" s="3">
        <f>IF(L208&gt;$C$11,1-O208*EXP(-(L208-$C$11)*$D$4/$B$4),0)</f>
        <v>1</v>
      </c>
      <c r="Q208" s="3">
        <f>IF(AND(L208&gt;$C$11,P208&gt;=$F$4,N208&lt;=$H$4),L208,"")</f>
        <v>34</v>
      </c>
    </row>
    <row r="209">
      <c r="L209" s="0">
        <v>35</v>
      </c>
      <c r="M209" s="3">
        <f>$C$11*M208/(L209+$C$11*M208)</f>
        <v>4.500162911724453e-31</v>
      </c>
      <c r="N209" s="3">
        <f>$C$11/L209</f>
        <v>0.05714285714285714</v>
      </c>
      <c r="O209" s="3">
        <f>IF(L209&gt;$C$11,M209/(1-N209+N209*M209),1)</f>
        <v>4.772900057889572e-31</v>
      </c>
      <c r="P209" s="3">
        <f>IF(L209&gt;$C$11,1-O209*EXP(-(L209-$C$11)*$D$4/$B$4),0)</f>
        <v>1</v>
      </c>
      <c r="Q209" s="3">
        <f>IF(AND(L209&gt;$C$11,P209&gt;=$F$4,N209&lt;=$H$4),L209,"")</f>
        <v>35</v>
      </c>
    </row>
    <row r="210">
      <c r="L210" s="0">
        <v>36</v>
      </c>
      <c r="M210" s="3">
        <f>$C$11*M209/(L210+$C$11*M209)</f>
        <v>2.500090506513585e-32</v>
      </c>
      <c r="N210" s="3">
        <f>$C$11/L210</f>
        <v>0.05555555555555555</v>
      </c>
      <c r="O210" s="3">
        <f>IF(L210&gt;$C$11,M210/(1-N210+N210*M210),1)</f>
        <v>2.647154653955561e-32</v>
      </c>
      <c r="P210" s="3">
        <f>IF(L210&gt;$C$11,1-O210*EXP(-(L210-$C$11)*$D$4/$B$4),0)</f>
        <v>1</v>
      </c>
      <c r="Q210" s="3">
        <f>IF(AND(L210&gt;$C$11,P210&gt;=$F$4,N210&lt;=$H$4),L210,"")</f>
        <v>36</v>
      </c>
    </row>
    <row r="211">
      <c r="L211" s="0">
        <v>37</v>
      </c>
      <c r="M211" s="3">
        <f>$C$11*M210/(L211+$C$11*M210)</f>
        <v>1.3514002737911271e-33</v>
      </c>
      <c r="N211" s="3">
        <f>$C$11/L211</f>
        <v>0.05405405405405406</v>
      </c>
      <c r="O211" s="3">
        <f>IF(L211&gt;$C$11,M211/(1-N211+N211*M211),1)</f>
        <v>1.4286231465791916e-33</v>
      </c>
      <c r="P211" s="3">
        <f>IF(L211&gt;$C$11,1-O211*EXP(-(L211-$C$11)*$D$4/$B$4),0)</f>
        <v>1</v>
      </c>
      <c r="Q211" s="3">
        <f>IF(AND(L211&gt;$C$11,P211&gt;=$F$4,N211&lt;=$H$4),L211,"")</f>
        <v>37</v>
      </c>
    </row>
    <row r="212">
      <c r="L212" s="0">
        <v>38</v>
      </c>
      <c r="M212" s="3">
        <f>$C$11*M211/(L212+$C$11*M211)</f>
        <v>7.112633019953301e-35</v>
      </c>
      <c r="N212" s="3">
        <f>$C$11/L212</f>
        <v>0.05263157894736842</v>
      </c>
      <c r="O212" s="3">
        <f>IF(L212&gt;$C$11,M212/(1-N212+N212*M212),1)</f>
        <v>7.507779298839595e-35</v>
      </c>
      <c r="P212" s="3">
        <f>IF(L212&gt;$C$11,1-O212*EXP(-(L212-$C$11)*$D$4/$B$4),0)</f>
        <v>1</v>
      </c>
      <c r="Q212" s="3">
        <f>IF(AND(L212&gt;$C$11,P212&gt;=$F$4,N212&lt;=$H$4),L212,"")</f>
        <v>38</v>
      </c>
    </row>
    <row r="213">
      <c r="L213" s="0">
        <v>39</v>
      </c>
      <c r="M213" s="3">
        <f>$C$11*M212/(L213+$C$11*M212)</f>
        <v>3.647504112796565e-36</v>
      </c>
      <c r="N213" s="3">
        <f>$C$11/L213</f>
        <v>0.05128205128205128</v>
      </c>
      <c r="O213" s="3">
        <f>IF(L213&gt;$C$11,M213/(1-N213+N213*M213),1)</f>
        <v>3.844666497272055e-36</v>
      </c>
      <c r="P213" s="3">
        <f>IF(L213&gt;$C$11,1-O213*EXP(-(L213-$C$11)*$D$4/$B$4),0)</f>
        <v>1</v>
      </c>
      <c r="Q213" s="3">
        <f>IF(AND(L213&gt;$C$11,P213&gt;=$F$4,N213&lt;=$H$4),L213,"")</f>
        <v>39</v>
      </c>
    </row>
    <row r="214">
      <c r="L214" s="0">
        <v>40</v>
      </c>
      <c r="M214" s="3">
        <f>$C$11*M213/(L214+$C$11*M213)</f>
        <v>1.8237520563982824e-37</v>
      </c>
      <c r="N214" s="3">
        <f>$C$11/L214</f>
        <v>0.05</v>
      </c>
      <c r="O214" s="3">
        <f>IF(L214&gt;$C$11,M214/(1-N214+N214*M214),1)</f>
        <v>1.919739006735034e-37</v>
      </c>
      <c r="P214" s="3">
        <f>IF(L214&gt;$C$11,1-O214*EXP(-(L214-$C$11)*$D$4/$B$4),0)</f>
        <v>1</v>
      </c>
      <c r="Q214" s="3">
        <f>IF(AND(L214&gt;$C$11,P214&gt;=$F$4,N214&lt;=$H$4),L214,"")</f>
        <v>40</v>
      </c>
    </row>
    <row r="216">
      <c r="L216" s="1" t="inlineStr">
        <is>
          <t xml:space="preserve">c</t>
        </is>
      </c>
      <c r="M216" s="1" t="inlineStr">
        <is>
          <t xml:space="preserve">Erlang B</t>
        </is>
      </c>
      <c r="N216" s="1" t="inlineStr">
        <is>
          <t xml:space="preserve">ρ</t>
        </is>
      </c>
      <c r="O216" s="1" t="inlineStr">
        <is>
          <t xml:space="preserve">P espera</t>
        </is>
      </c>
      <c r="P216" s="1" t="inlineStr">
        <is>
          <t xml:space="preserve">SL</t>
        </is>
      </c>
      <c r="Q216" s="1" t="inlineStr">
        <is>
          <t xml:space="preserve">c factible</t>
        </is>
      </c>
    </row>
    <row r="217">
      <c r="L217" s="0">
        <v>1</v>
      </c>
      <c r="M217" s="3">
        <f>$C$12/(1+$C$12)</f>
        <v>0.5555555555555556</v>
      </c>
      <c r="N217" s="3">
        <f>$C$12/L217</f>
        <v>1.25</v>
      </c>
      <c r="O217" s="3">
        <f>IF(L217&gt;$C$12,M217/(1-N217+N217*M217),1)</f>
        <v>1</v>
      </c>
      <c r="P217" s="3">
        <f>IF(L217&gt;$C$12,1-O217*EXP(-(L217-$C$12)*$D$4/$B$4),0)</f>
        <v>0</v>
      </c>
      <c r="Q217" s="3" t="str">
        <f>IF(AND(L217&gt;$C$12,P217&gt;=$F$4,N217&lt;=$H$4),L217,"")</f>
        <v/>
      </c>
    </row>
    <row r="218">
      <c r="L218" s="0">
        <v>2</v>
      </c>
      <c r="M218" s="3">
        <f>$C$12*M217/(L218+$C$12*M217)</f>
        <v>0.25773195876288657</v>
      </c>
      <c r="N218" s="3">
        <f>$C$12/L218</f>
        <v>0.625</v>
      </c>
      <c r="O218" s="3">
        <f>IF(L218&gt;$C$12,M218/(1-N218+N218*M218),1)</f>
        <v>0.4807692307692307</v>
      </c>
      <c r="P218" s="3">
        <f>IF(L218&gt;$C$12,1-O218*EXP(-(L218-$C$12)*$D$4/$B$4),0)</f>
        <v>0.8927258845440241</v>
      </c>
      <c r="Q218" s="3">
        <f>IF(AND(L218&gt;$C$12,P218&gt;=$F$4,N218&lt;=$H$4),L218,"")</f>
        <v>2</v>
      </c>
    </row>
    <row r="219">
      <c r="L219" s="0">
        <v>3</v>
      </c>
      <c r="M219" s="3">
        <f>$C$12*M218/(L219+$C$12*M218)</f>
        <v>0.0969743987587277</v>
      </c>
      <c r="N219" s="3">
        <f>$C$12/L219</f>
        <v>0.4166666666666667</v>
      </c>
      <c r="O219" s="3">
        <f>IF(L219&gt;$C$12,M219/(1-N219+N219*M219),1)</f>
        <v>0.1554726368159204</v>
      </c>
      <c r="P219" s="3">
        <f>IF(L219&gt;$C$12,1-O219*EXP(-(L219-$C$12)*$D$4/$B$4),0)</f>
        <v>0.9953051331743907</v>
      </c>
      <c r="Q219" s="3">
        <f>IF(AND(L219&gt;$C$12,P219&gt;=$F$4,N219&lt;=$H$4),L219,"")</f>
        <v>3</v>
      </c>
    </row>
    <row r="220">
      <c r="L220" s="0">
        <v>4</v>
      </c>
      <c r="M220" s="3">
        <f>$C$12*M219/(L220+$C$12*M219)</f>
        <v>0.02941314885406372</v>
      </c>
      <c r="N220" s="3">
        <f>$C$12/L220</f>
        <v>0.3125</v>
      </c>
      <c r="O220" s="3">
        <f>IF(L220&gt;$C$12,M220/(1-N220+N220*M220),1)</f>
        <v>0.042218319373142396</v>
      </c>
      <c r="P220" s="3">
        <f>IF(L220&gt;$C$12,1-O220*EXP(-(L220-$C$12)*$D$4/$B$4),0)</f>
        <v>0.9998274633782059</v>
      </c>
      <c r="Q220" s="3">
        <f>IF(AND(L220&gt;$C$12,P220&gt;=$F$4,N220&lt;=$H$4),L220,"")</f>
        <v>4</v>
      </c>
    </row>
    <row r="221">
      <c r="L221" s="0">
        <v>5</v>
      </c>
      <c r="M221" s="3">
        <f>$C$12*M220/(L221+$C$12*M220)</f>
        <v>0.007299611076721832</v>
      </c>
      <c r="N221" s="3">
        <f>$C$12/L221</f>
        <v>0.25</v>
      </c>
      <c r="O221" s="3">
        <f>IF(L221&gt;$C$12,M221/(1-N221+N221*M221),1)</f>
        <v>0.0097091903311999</v>
      </c>
      <c r="P221" s="3">
        <f>IF(L221&gt;$C$12,1-O221*EXP(-(L221-$C$12)*$D$4/$B$4),0)</f>
        <v>0.999994629998581</v>
      </c>
      <c r="Q221" s="3">
        <f>IF(AND(L221&gt;$C$12,P221&gt;=$F$4,N221&lt;=$H$4),L221,"")</f>
        <v>5</v>
      </c>
    </row>
    <row r="222">
      <c r="L222" s="0">
        <v>6</v>
      </c>
      <c r="M222" s="3">
        <f>$C$12*M221/(L222+$C$12*M221)</f>
        <v>0.0015184431317537312</v>
      </c>
      <c r="N222" s="3">
        <f>$C$12/L222</f>
        <v>0.20833333333333334</v>
      </c>
      <c r="O222" s="3">
        <f>IF(L222&gt;$C$12,M222/(1-N222+N222*M222),1)</f>
        <v>0.0019172673081689696</v>
      </c>
      <c r="P222" s="3">
        <f>IF(L222&gt;$C$12,1-O222*EXP(-(L222-$C$12)*$D$4/$B$4),0)</f>
        <v>0.9999998564890336</v>
      </c>
      <c r="Q222" s="3">
        <f>IF(AND(L222&gt;$C$12,P222&gt;=$F$4,N222&lt;=$H$4),L222,"")</f>
        <v>6</v>
      </c>
    </row>
    <row r="223">
      <c r="L223" s="0">
        <v>7</v>
      </c>
      <c r="M223" s="3">
        <f>$C$12*M222/(L223+$C$12*M222)</f>
        <v>0.0002710770565462576</v>
      </c>
      <c r="N223" s="3">
        <f>$C$12/L223</f>
        <v>0.17857142857142858</v>
      </c>
      <c r="O223" s="3">
        <f>IF(L223&gt;$C$12,M223/(1-N223+N223*M223),1)</f>
        <v>0.0003299874053575002</v>
      </c>
      <c r="P223" s="3">
        <f>IF(L223&gt;$C$12,1-O223*EXP(-(L223-$C$12)*$D$4/$B$4),0)</f>
        <v>0.9999999966571967</v>
      </c>
      <c r="Q223" s="3">
        <f>IF(AND(L223&gt;$C$12,P223&gt;=$F$4,N223&lt;=$H$4),L223,"")</f>
        <v>7</v>
      </c>
    </row>
    <row r="224">
      <c r="L224" s="0">
        <v>8</v>
      </c>
      <c r="M224" s="3">
        <f>$C$12*M223/(L224+$C$12*M223)</f>
        <v>0.00004235399614838261</v>
      </c>
      <c r="N224" s="3">
        <f>$C$12/L224</f>
        <v>0.15625</v>
      </c>
      <c r="O224" s="3">
        <f>IF(L224&gt;$C$12,M224/(1-N224+N224*M224),1)</f>
        <v>0.000050196935057195306</v>
      </c>
      <c r="P224" s="3">
        <f>IF(L224&gt;$C$12,1-O224*EXP(-(L224-$C$12)*$D$4/$B$4),0)</f>
        <v>0.999999999931182</v>
      </c>
      <c r="Q224" s="3">
        <f>IF(AND(L224&gt;$C$12,P224&gt;=$F$4,N224&lt;=$H$4),L224,"")</f>
        <v>8</v>
      </c>
    </row>
    <row r="225">
      <c r="L225" s="0">
        <v>9</v>
      </c>
      <c r="M225" s="3">
        <f>$C$12*M224/(L225+$C$12*M224)</f>
        <v>0.000005882464861456739</v>
      </c>
      <c r="N225" s="3">
        <f>$C$12/L225</f>
        <v>0.1388888888888889</v>
      </c>
      <c r="O225" s="3">
        <f>IF(L225&gt;$C$12,M225/(1-N225+N225*M225),1)</f>
        <v>0.000006831243035151839</v>
      </c>
      <c r="P225" s="3">
        <f>IF(L225&gt;$C$12,1-O225*EXP(-(L225-$C$12)*$D$4/$B$4),0)</f>
        <v>0.9999999999987326</v>
      </c>
      <c r="Q225" s="3">
        <f>IF(AND(L225&gt;$C$12,P225&gt;=$F$4,N225&lt;=$H$4),L225,"")</f>
        <v>9</v>
      </c>
    </row>
    <row r="226">
      <c r="L226" s="0">
        <v>10</v>
      </c>
      <c r="M226" s="3">
        <f>$C$12*M225/(L226+$C$12*M225)</f>
        <v>7.353075670044767e-7</v>
      </c>
      <c r="N226" s="3">
        <f>$C$12/L226</f>
        <v>0.125</v>
      </c>
      <c r="O226" s="3">
        <f>IF(L226&gt;$C$12,M226/(1-N226+N226*M226),1)</f>
        <v>8.403514168741511e-7</v>
      </c>
      <c r="P226" s="3">
        <f>IF(L226&gt;$C$12,1-O226*EXP(-(L226-$C$12)*$D$4/$B$4),0)</f>
        <v>0.9999999999999789</v>
      </c>
      <c r="Q226" s="3">
        <f>IF(AND(L226&gt;$C$12,P226&gt;=$F$4,N226&lt;=$H$4),L226,"")</f>
        <v>10</v>
      </c>
    </row>
    <row r="227">
      <c r="L227" s="0">
        <v>11</v>
      </c>
      <c r="M227" s="3">
        <f>$C$12*M226/(L227+$C$12*M226)</f>
        <v>8.355767108680555e-8</v>
      </c>
      <c r="N227" s="3">
        <f>$C$12/L227</f>
        <v>0.11363636363636363</v>
      </c>
      <c r="O227" s="3">
        <f>IF(L227&gt;$C$12,M227/(1-N227+N227*M227),1)</f>
        <v>9.427019201113989e-8</v>
      </c>
      <c r="P227" s="3">
        <f>IF(L227&gt;$C$12,1-O227*EXP(-(L227-$C$12)*$D$4/$B$4),0)</f>
        <v>0.9999999999999997</v>
      </c>
      <c r="Q227" s="3">
        <f>IF(AND(L227&gt;$C$12,P227&gt;=$F$4,N227&lt;=$H$4),L227,"")</f>
        <v>11</v>
      </c>
    </row>
    <row r="228">
      <c r="L228" s="0">
        <v>12</v>
      </c>
      <c r="M228" s="3">
        <f>$C$12*M227/(L228+$C$12*M227)</f>
        <v>8.70392399578395e-9</v>
      </c>
      <c r="N228" s="3">
        <f>$C$12/L228</f>
        <v>0.10416666666666667</v>
      </c>
      <c r="O228" s="3">
        <f>IF(L228&gt;$C$12,M228/(1-N228+N228*M228),1)</f>
        <v>9.716008171506804e-9</v>
      </c>
      <c r="P228" s="3">
        <f>IF(L228&gt;$C$12,1-O228*EXP(-(L228-$C$12)*$D$4/$B$4),0)</f>
        <v>1</v>
      </c>
      <c r="Q228" s="3">
        <f>IF(AND(L228&gt;$C$12,P228&gt;=$F$4,N228&lt;=$H$4),L228,"")</f>
        <v>12</v>
      </c>
    </row>
    <row r="229">
      <c r="L229" s="0">
        <v>13</v>
      </c>
      <c r="M229" s="3">
        <f>$C$12*M228/(L229+$C$12*M228)</f>
        <v>8.369157681249519e-10</v>
      </c>
      <c r="N229" s="3">
        <f>$C$12/L229</f>
        <v>0.09615384615384616</v>
      </c>
      <c r="O229" s="3">
        <f>IF(L229&gt;$C$12,M229/(1-N229+N229*M229),1)</f>
        <v>9.259493603962296e-10</v>
      </c>
      <c r="P229" s="3">
        <f>IF(L229&gt;$C$12,1-O229*EXP(-(L229-$C$12)*$D$4/$B$4),0)</f>
        <v>1</v>
      </c>
      <c r="Q229" s="3">
        <f>IF(AND(L229&gt;$C$12,P229&gt;=$F$4,N229&lt;=$H$4),L229,"")</f>
        <v>13</v>
      </c>
    </row>
    <row r="230">
      <c r="L230" s="0">
        <v>14</v>
      </c>
      <c r="M230" s="3">
        <f>$C$12*M229/(L230+$C$12*M229)</f>
        <v>7.472462214842979e-11</v>
      </c>
      <c r="N230" s="3">
        <f>$C$12/L230</f>
        <v>0.08928571428571429</v>
      </c>
      <c r="O230" s="3">
        <f>IF(L230&gt;$C$12,M230/(1-N230+N230*M230),1)</f>
        <v>8.205056549571396e-11</v>
      </c>
      <c r="P230" s="3">
        <f>IF(L230&gt;$C$12,1-O230*EXP(-(L230-$C$12)*$D$4/$B$4),0)</f>
        <v>1</v>
      </c>
      <c r="Q230" s="3">
        <f>IF(AND(L230&gt;$C$12,P230&gt;=$F$4,N230&lt;=$H$4),L230,"")</f>
        <v>14</v>
      </c>
    </row>
    <row r="231">
      <c r="L231" s="0">
        <v>15</v>
      </c>
      <c r="M231" s="3">
        <f>$C$12*M230/(L231+$C$12*M230)</f>
        <v>6.227051845663706e-12</v>
      </c>
      <c r="N231" s="3">
        <f>$C$12/L231</f>
        <v>0.08333333333333333</v>
      </c>
      <c r="O231" s="3">
        <f>IF(L231&gt;$C$12,M231/(1-N231+N231*M231),1)</f>
        <v>6.793147467992925e-12</v>
      </c>
      <c r="P231" s="3">
        <f>IF(L231&gt;$C$12,1-O231*EXP(-(L231-$C$12)*$D$4/$B$4),0)</f>
        <v>1</v>
      </c>
      <c r="Q231" s="3">
        <f>IF(AND(L231&gt;$C$12,P231&gt;=$F$4,N231&lt;=$H$4),L231,"")</f>
        <v>15</v>
      </c>
    </row>
    <row r="232">
      <c r="L232" s="0">
        <v>16</v>
      </c>
      <c r="M232" s="3">
        <f>$C$12*M231/(L232+$C$12*M231)</f>
        <v>4.864884254422403e-13</v>
      </c>
      <c r="N232" s="3">
        <f>$C$12/L232</f>
        <v>0.078125</v>
      </c>
      <c r="O232" s="3">
        <f>IF(L232&gt;$C$12,M232/(1-N232+N232*M232),1)</f>
        <v>5.277162581068152e-13</v>
      </c>
      <c r="P232" s="3">
        <f>IF(L232&gt;$C$12,1-O232*EXP(-(L232-$C$12)*$D$4/$B$4),0)</f>
        <v>1</v>
      </c>
      <c r="Q232" s="3">
        <f>IF(AND(L232&gt;$C$12,P232&gt;=$F$4,N232&lt;=$H$4),L232,"")</f>
        <v>16</v>
      </c>
    </row>
    <row r="233">
      <c r="L233" s="0">
        <v>17</v>
      </c>
      <c r="M233" s="3">
        <f>$C$12*M232/(L233+$C$12*M232)</f>
        <v>3.577120775310463e-14</v>
      </c>
      <c r="N233" s="3">
        <f>$C$12/L233</f>
        <v>0.07352941176470588</v>
      </c>
      <c r="O233" s="3">
        <f>IF(L233&gt;$C$12,M233/(1-N233+N233*M233),1)</f>
        <v>3.861019249541441e-14</v>
      </c>
      <c r="P233" s="3">
        <f>IF(L233&gt;$C$12,1-O233*EXP(-(L233-$C$12)*$D$4/$B$4),0)</f>
        <v>1</v>
      </c>
      <c r="Q233" s="3">
        <f>IF(AND(L233&gt;$C$12,P233&gt;=$F$4,N233&lt;=$H$4),L233,"")</f>
        <v>17</v>
      </c>
    </row>
    <row r="234">
      <c r="L234" s="0">
        <v>18</v>
      </c>
      <c r="M234" s="3">
        <f>$C$12*M233/(L234+$C$12*M233)</f>
        <v>2.4841116495211486e-15</v>
      </c>
      <c r="N234" s="3">
        <f>$C$12/L234</f>
        <v>0.06944444444444445</v>
      </c>
      <c r="O234" s="3">
        <f>IF(L234&gt;$C$12,M234/(1-N234+N234*M234),1)</f>
        <v>2.669493115903323e-15</v>
      </c>
      <c r="P234" s="3">
        <f>IF(L234&gt;$C$12,1-O234*EXP(-(L234-$C$12)*$D$4/$B$4),0)</f>
        <v>1</v>
      </c>
      <c r="Q234" s="3">
        <f>IF(AND(L234&gt;$C$12,P234&gt;=$F$4,N234&lt;=$H$4),L234,"")</f>
        <v>18</v>
      </c>
    </row>
    <row r="235">
      <c r="L235" s="0">
        <v>19</v>
      </c>
      <c r="M235" s="3">
        <f>$C$12*M234/(L235+$C$12*M234)</f>
        <v>1.6342839799481235e-16</v>
      </c>
      <c r="N235" s="3">
        <f>$C$12/L235</f>
        <v>0.06578947368421052</v>
      </c>
      <c r="O235" s="3">
        <f>IF(L235&gt;$C$12,M235/(1-N235+N235*M235),1)</f>
        <v>1.7493744010712308e-16</v>
      </c>
      <c r="P235" s="3">
        <f>IF(L235&gt;$C$12,1-O235*EXP(-(L235-$C$12)*$D$4/$B$4),0)</f>
        <v>1</v>
      </c>
      <c r="Q235" s="3">
        <f>IF(AND(L235&gt;$C$12,P235&gt;=$F$4,N235&lt;=$H$4),L235,"")</f>
        <v>19</v>
      </c>
    </row>
    <row r="236">
      <c r="L236" s="0">
        <v>20</v>
      </c>
      <c r="M236" s="3">
        <f>$C$12*M235/(L236+$C$12*M235)</f>
        <v>1.0214274874675772e-17</v>
      </c>
      <c r="N236" s="3">
        <f>$C$12/L236</f>
        <v>0.0625</v>
      </c>
      <c r="O236" s="3">
        <f>IF(L236&gt;$C$12,M236/(1-N236+N236*M236),1)</f>
        <v>1.089522653298749e-17</v>
      </c>
      <c r="P236" s="3">
        <f>IF(L236&gt;$C$12,1-O236*EXP(-(L236-$C$12)*$D$4/$B$4),0)</f>
        <v>1</v>
      </c>
      <c r="Q236" s="3">
        <f>IF(AND(L236&gt;$C$12,P236&gt;=$F$4,N236&lt;=$H$4),L236,"")</f>
        <v>20</v>
      </c>
    </row>
    <row r="237">
      <c r="L237" s="0">
        <v>21</v>
      </c>
      <c r="M237" s="3">
        <f>$C$12*M236/(L237+$C$12*M236)</f>
        <v>6.079925520640341e-19</v>
      </c>
      <c r="N237" s="3">
        <f>$C$12/L237</f>
        <v>0.05952380952380952</v>
      </c>
      <c r="O237" s="3">
        <f>IF(L237&gt;$C$12,M237/(1-N237+N237*M237),1)</f>
        <v>6.464730933339097e-19</v>
      </c>
      <c r="P237" s="3">
        <f>IF(L237&gt;$C$12,1-O237*EXP(-(L237-$C$12)*$D$4/$B$4),0)</f>
        <v>1</v>
      </c>
      <c r="Q237" s="3">
        <f>IF(AND(L237&gt;$C$12,P237&gt;=$F$4,N237&lt;=$H$4),L237,"")</f>
        <v>21</v>
      </c>
    </row>
    <row r="238">
      <c r="L238" s="0">
        <v>22</v>
      </c>
      <c r="M238" s="3">
        <f>$C$12*M237/(L238+$C$12*M237)</f>
        <v>3.454503136727466e-20</v>
      </c>
      <c r="N238" s="3">
        <f>$C$12/L238</f>
        <v>0.056818181818181816</v>
      </c>
      <c r="O238" s="3">
        <f>IF(L238&gt;$C$12,M238/(1-N238+N238*M238),1)</f>
        <v>3.6626057353255063e-20</v>
      </c>
      <c r="P238" s="3">
        <f>IF(L238&gt;$C$12,1-O238*EXP(-(L238-$C$12)*$D$4/$B$4),0)</f>
        <v>1</v>
      </c>
      <c r="Q238" s="3">
        <f>IF(AND(L238&gt;$C$12,P238&gt;=$F$4,N238&lt;=$H$4),L238,"")</f>
        <v>22</v>
      </c>
    </row>
    <row r="239">
      <c r="L239" s="0">
        <v>23</v>
      </c>
      <c r="M239" s="3">
        <f>$C$12*M238/(L239+$C$12*M238)</f>
        <v>1.877447356917101e-21</v>
      </c>
      <c r="N239" s="3">
        <f>$C$12/L239</f>
        <v>0.05434782608695652</v>
      </c>
      <c r="O239" s="3">
        <f>IF(L239&gt;$C$12,M239/(1-N239+N239*M239),1)</f>
        <v>1.9853466303031414e-21</v>
      </c>
      <c r="P239" s="3">
        <f>IF(L239&gt;$C$12,1-O239*EXP(-(L239-$C$12)*$D$4/$B$4),0)</f>
        <v>1</v>
      </c>
      <c r="Q239" s="3">
        <f>IF(AND(L239&gt;$C$12,P239&gt;=$F$4,N239&lt;=$H$4),L239,"")</f>
        <v>23</v>
      </c>
    </row>
    <row r="240">
      <c r="L240" s="0">
        <v>24</v>
      </c>
      <c r="M240" s="3">
        <f>$C$12*M239/(L240+$C$12*M239)</f>
        <v>9.778371650609902e-23</v>
      </c>
      <c r="N240" s="3">
        <f>$C$12/L240</f>
        <v>0.052083333333333336</v>
      </c>
      <c r="O240" s="3">
        <f>IF(L240&gt;$C$12,M240/(1-N240+N240*M240),1)</f>
        <v>1.031564481822583e-22</v>
      </c>
      <c r="P240" s="3">
        <f>IF(L240&gt;$C$12,1-O240*EXP(-(L240-$C$12)*$D$4/$B$4),0)</f>
        <v>1</v>
      </c>
      <c r="Q240" s="3">
        <f>IF(AND(L240&gt;$C$12,P240&gt;=$F$4,N240&lt;=$H$4),L240,"")</f>
        <v>24</v>
      </c>
    </row>
    <row r="241">
      <c r="L241" s="0">
        <v>25</v>
      </c>
      <c r="M241" s="3">
        <f>$C$12*M240/(L241+$C$12*M240)</f>
        <v>4.889185825304951e-24</v>
      </c>
      <c r="N241" s="3">
        <f>$C$12/L241</f>
        <v>0.05</v>
      </c>
      <c r="O241" s="3">
        <f>IF(L241&gt;$C$12,M241/(1-N241+N241*M241),1)</f>
        <v>5.1465113950578435e-24</v>
      </c>
      <c r="P241" s="3">
        <f>IF(L241&gt;$C$12,1-O241*EXP(-(L241-$C$12)*$D$4/$B$4),0)</f>
        <v>1</v>
      </c>
      <c r="Q241" s="3">
        <f>IF(AND(L241&gt;$C$12,P241&gt;=$F$4,N241&lt;=$H$4),L241,"")</f>
        <v>25</v>
      </c>
    </row>
    <row r="242">
      <c r="L242" s="0">
        <v>26</v>
      </c>
      <c r="M242" s="3">
        <f>$C$12*M241/(L242+$C$12*M241)</f>
        <v>2.350570108319688e-25</v>
      </c>
      <c r="N242" s="3">
        <f>$C$12/L242</f>
        <v>0.04807692307692308</v>
      </c>
      <c r="O242" s="3">
        <f>IF(L242&gt;$C$12,M242/(1-N242+N242*M242),1)</f>
        <v>2.469285770356036e-25</v>
      </c>
      <c r="P242" s="3">
        <f>IF(L242&gt;$C$12,1-O242*EXP(-(L242-$C$12)*$D$4/$B$4),0)</f>
        <v>1</v>
      </c>
      <c r="Q242" s="3">
        <f>IF(AND(L242&gt;$C$12,P242&gt;=$F$4,N242&lt;=$H$4),L242,"")</f>
        <v>26</v>
      </c>
    </row>
    <row r="243">
      <c r="L243" s="0">
        <v>27</v>
      </c>
      <c r="M243" s="3">
        <f>$C$12*M242/(L243+$C$12*M242)</f>
        <v>1.0882269019998555e-26</v>
      </c>
      <c r="N243" s="3">
        <f>$C$12/L243</f>
        <v>0.046296296296296294</v>
      </c>
      <c r="O243" s="3">
        <f>IF(L243&gt;$C$12,M243/(1-N243+N243*M243),1)</f>
        <v>1.1410534506406251e-26</v>
      </c>
      <c r="P243" s="3">
        <f>IF(L243&gt;$C$12,1-O243*EXP(-(L243-$C$12)*$D$4/$B$4),0)</f>
        <v>1</v>
      </c>
      <c r="Q243" s="3">
        <f>IF(AND(L243&gt;$C$12,P243&gt;=$F$4,N243&lt;=$H$4),L243,"")</f>
        <v>27</v>
      </c>
    </row>
    <row r="244">
      <c r="L244" s="0">
        <v>28</v>
      </c>
      <c r="M244" s="3">
        <f>$C$12*M243/(L244+$C$12*M243)</f>
        <v>4.858155812499355e-28</v>
      </c>
      <c r="N244" s="3">
        <f>$C$12/L244</f>
        <v>0.044642857142857144</v>
      </c>
      <c r="O244" s="3">
        <f>IF(L244&gt;$C$12,M244/(1-N244+N244*M244),1)</f>
        <v>5.08517243925166e-28</v>
      </c>
      <c r="P244" s="3">
        <f>IF(L244&gt;$C$12,1-O244*EXP(-(L244-$C$12)*$D$4/$B$4),0)</f>
        <v>1</v>
      </c>
      <c r="Q244" s="3">
        <f>IF(AND(L244&gt;$C$12,P244&gt;=$F$4,N244&lt;=$H$4),L244,"")</f>
        <v>28</v>
      </c>
    </row>
    <row r="245">
      <c r="L245" s="0">
        <v>29</v>
      </c>
      <c r="M245" s="3">
        <f>$C$12*M244/(L245+$C$12*M244)</f>
        <v>2.094032677801446e-29</v>
      </c>
      <c r="N245" s="3">
        <f>$C$12/L245</f>
        <v>0.04310344827586207</v>
      </c>
      <c r="O245" s="3">
        <f>IF(L245&gt;$C$12,M245/(1-N245+N245*M245),1)</f>
        <v>2.1883584740988086e-29</v>
      </c>
      <c r="P245" s="3">
        <f>IF(L245&gt;$C$12,1-O245*EXP(-(L245-$C$12)*$D$4/$B$4),0)</f>
        <v>1</v>
      </c>
      <c r="Q245" s="3">
        <f>IF(AND(L245&gt;$C$12,P245&gt;=$F$4,N245&lt;=$H$4),L245,"")</f>
        <v>29</v>
      </c>
    </row>
    <row r="246">
      <c r="L246" s="0">
        <v>30</v>
      </c>
      <c r="M246" s="3">
        <f>$C$12*M245/(L246+$C$12*M245)</f>
        <v>8.725136157506024e-31</v>
      </c>
      <c r="N246" s="3">
        <f>$C$12/L246</f>
        <v>0.041666666666666664</v>
      </c>
      <c r="O246" s="3">
        <f>IF(L246&gt;$C$12,M246/(1-N246+N246*M246),1)</f>
        <v>9.104489903484547e-31</v>
      </c>
      <c r="P246" s="3">
        <f>IF(L246&gt;$C$12,1-O246*EXP(-(L246-$C$12)*$D$4/$B$4),0)</f>
        <v>1</v>
      </c>
      <c r="Q246" s="3">
        <f>IF(AND(L246&gt;$C$12,P246&gt;=$F$4,N246&lt;=$H$4),L246,"")</f>
        <v>30</v>
      </c>
    </row>
    <row r="247">
      <c r="L247" s="0">
        <v>31</v>
      </c>
      <c r="M247" s="3">
        <f>$C$12*M246/(L247+$C$12*M246)</f>
        <v>3.518200063510494e-32</v>
      </c>
      <c r="N247" s="3">
        <f>$C$12/L247</f>
        <v>0.04032258064516129</v>
      </c>
      <c r="O247" s="3">
        <f>IF(L247&gt;$C$12,M247/(1-N247+N247*M247),1)</f>
        <v>3.666023595590767e-32</v>
      </c>
      <c r="P247" s="3">
        <f>IF(L247&gt;$C$12,1-O247*EXP(-(L247-$C$12)*$D$4/$B$4),0)</f>
        <v>1</v>
      </c>
      <c r="Q247" s="3">
        <f>IF(AND(L247&gt;$C$12,P247&gt;=$F$4,N247&lt;=$H$4),L247,"")</f>
        <v>31</v>
      </c>
    </row>
    <row r="248">
      <c r="L248" s="0">
        <v>32</v>
      </c>
      <c r="M248" s="3">
        <f>$C$12*M247/(L248+$C$12*M247)</f>
        <v>1.3742968998087866e-33</v>
      </c>
      <c r="N248" s="3">
        <f>$C$12/L248</f>
        <v>0.0390625</v>
      </c>
      <c r="O248" s="3">
        <f>IF(L248&gt;$C$12,M248/(1-N248+N248*M248),1)</f>
        <v>1.4301626274432902e-33</v>
      </c>
      <c r="P248" s="3">
        <f>IF(L248&gt;$C$12,1-O248*EXP(-(L248-$C$12)*$D$4/$B$4),0)</f>
        <v>1</v>
      </c>
      <c r="Q248" s="3">
        <f>IF(AND(L248&gt;$C$12,P248&gt;=$F$4,N248&lt;=$H$4),L248,"")</f>
        <v>32</v>
      </c>
    </row>
    <row r="249">
      <c r="L249" s="0">
        <v>33</v>
      </c>
      <c r="M249" s="3">
        <f>$C$12*M248/(L249+$C$12*M248)</f>
        <v>5.205670075033282e-35</v>
      </c>
      <c r="N249" s="3">
        <f>$C$12/L249</f>
        <v>0.03787878787878788</v>
      </c>
      <c r="O249" s="3">
        <f>IF(L249&gt;$C$12,M249/(1-N249+N249*M249),1)</f>
        <v>5.410617715782624e-35</v>
      </c>
      <c r="P249" s="3">
        <f>IF(L249&gt;$C$12,1-O249*EXP(-(L249-$C$12)*$D$4/$B$4),0)</f>
        <v>1</v>
      </c>
      <c r="Q249" s="3">
        <f>IF(AND(L249&gt;$C$12,P249&gt;=$F$4,N249&lt;=$H$4),L249,"")</f>
        <v>33</v>
      </c>
    </row>
    <row r="250">
      <c r="L250" s="0">
        <v>34</v>
      </c>
      <c r="M250" s="3">
        <f>$C$12*M249/(L250+$C$12*M249)</f>
        <v>1.9138492922916478e-36</v>
      </c>
      <c r="N250" s="3">
        <f>$C$12/L250</f>
        <v>0.03676470588235294</v>
      </c>
      <c r="O250" s="3">
        <f>IF(L250&gt;$C$12,M250/(1-N250+N250*M250),1)</f>
        <v>1.9868969752035426e-36</v>
      </c>
      <c r="P250" s="3">
        <f>IF(L250&gt;$C$12,1-O250*EXP(-(L250-$C$12)*$D$4/$B$4),0)</f>
        <v>1</v>
      </c>
      <c r="Q250" s="3">
        <f>IF(AND(L250&gt;$C$12,P250&gt;=$F$4,N250&lt;=$H$4),L250,"")</f>
        <v>34</v>
      </c>
    </row>
    <row r="251">
      <c r="L251" s="0">
        <v>35</v>
      </c>
      <c r="M251" s="3">
        <f>$C$12*M250/(L251+$C$12*M250)</f>
        <v>6.835176043898741e-38</v>
      </c>
      <c r="N251" s="3">
        <f>$C$12/L251</f>
        <v>0.03571428571428571</v>
      </c>
      <c r="O251" s="3">
        <f>IF(L251&gt;$C$12,M251/(1-N251+N251*M251),1)</f>
        <v>7.088330712191288e-38</v>
      </c>
      <c r="P251" s="3">
        <f>IF(L251&gt;$C$12,1-O251*EXP(-(L251-$C$12)*$D$4/$B$4),0)</f>
        <v>1</v>
      </c>
      <c r="Q251" s="3">
        <f>IF(AND(L251&gt;$C$12,P251&gt;=$F$4,N251&lt;=$H$4),L251,"")</f>
        <v>35</v>
      </c>
    </row>
    <row r="252">
      <c r="L252" s="0">
        <v>36</v>
      </c>
      <c r="M252" s="3">
        <f>$C$12*M251/(L252+$C$12*M251)</f>
        <v>2.3733250152426185e-39</v>
      </c>
      <c r="N252" s="3">
        <f>$C$12/L252</f>
        <v>0.034722222222222224</v>
      </c>
      <c r="O252" s="3">
        <f>IF(L252&gt;$C$12,M252/(1-N252+N252*M252),1)</f>
        <v>2.458696418668612e-39</v>
      </c>
      <c r="P252" s="3">
        <f>IF(L252&gt;$C$12,1-O252*EXP(-(L252-$C$12)*$D$4/$B$4),0)</f>
        <v>1</v>
      </c>
      <c r="Q252" s="3">
        <f>IF(AND(L252&gt;$C$12,P252&gt;=$F$4,N252&lt;=$H$4),L252,"")</f>
        <v>36</v>
      </c>
    </row>
    <row r="253">
      <c r="L253" s="0">
        <v>37</v>
      </c>
      <c r="M253" s="3">
        <f>$C$12*M252/(L253+$C$12*M252)</f>
        <v>8.017989916360199e-41</v>
      </c>
      <c r="N253" s="3">
        <f>$C$12/L253</f>
        <v>0.033783783783783786</v>
      </c>
      <c r="O253" s="3">
        <f>IF(L253&gt;$C$12,M253/(1-N253+N253*M253),1)</f>
        <v>8.298339214135031e-41</v>
      </c>
      <c r="P253" s="3">
        <f>IF(L253&gt;$C$12,1-O253*EXP(-(L253-$C$12)*$D$4/$B$4),0)</f>
        <v>1</v>
      </c>
      <c r="Q253" s="3">
        <f>IF(AND(L253&gt;$C$12,P253&gt;=$F$4,N253&lt;=$H$4),L253,"")</f>
        <v>37</v>
      </c>
    </row>
    <row r="254">
      <c r="L254" s="0">
        <v>38</v>
      </c>
      <c r="M254" s="3">
        <f>$C$12*M253/(L254+$C$12*M253)</f>
        <v>2.6374966830132233e-42</v>
      </c>
      <c r="N254" s="3">
        <f>$C$12/L254</f>
        <v>0.03289473684210526</v>
      </c>
      <c r="O254" s="3">
        <f>IF(L254&gt;$C$12,M254/(1-N254+N254*M254),1)</f>
        <v>2.7272074545442854e-42</v>
      </c>
      <c r="P254" s="3">
        <f>IF(L254&gt;$C$12,1-O254*EXP(-(L254-$C$12)*$D$4/$B$4),0)</f>
        <v>1</v>
      </c>
      <c r="Q254" s="3">
        <f>IF(AND(L254&gt;$C$12,P254&gt;=$F$4,N254&lt;=$H$4),L254,"")</f>
        <v>38</v>
      </c>
    </row>
    <row r="255">
      <c r="L255" s="0">
        <v>39</v>
      </c>
      <c r="M255" s="3">
        <f>$C$12*M254/(L255+$C$12*M254)</f>
        <v>8.453515009657767e-44</v>
      </c>
      <c r="N255" s="3">
        <f>$C$12/L255</f>
        <v>0.03205128205128205</v>
      </c>
      <c r="O255" s="3">
        <f>IF(L255&gt;$C$12,M255/(1-N255+N255*M255),1)</f>
        <v>8.733432725209349e-44</v>
      </c>
      <c r="P255" s="3">
        <f>IF(L255&gt;$C$12,1-O255*EXP(-(L255-$C$12)*$D$4/$B$4),0)</f>
        <v>1</v>
      </c>
      <c r="Q255" s="3">
        <f>IF(AND(L255&gt;$C$12,P255&gt;=$F$4,N255&lt;=$H$4),L255,"")</f>
        <v>39</v>
      </c>
    </row>
    <row r="256">
      <c r="L256" s="0">
        <v>40</v>
      </c>
      <c r="M256" s="3">
        <f>$C$12*M255/(L256+$C$12*M255)</f>
        <v>2.641723440518052e-45</v>
      </c>
      <c r="N256" s="3">
        <f>$C$12/L256</f>
        <v>0.03125</v>
      </c>
      <c r="O256" s="3">
        <f>IF(L256&gt;$C$12,M256/(1-N256+N256*M256),1)</f>
        <v>2.7269403256960537e-45</v>
      </c>
      <c r="P256" s="3">
        <f>IF(L256&gt;$C$12,1-O256*EXP(-(L256-$C$12)*$D$4/$B$4),0)</f>
        <v>1</v>
      </c>
      <c r="Q256" s="3">
        <f>IF(AND(L256&gt;$C$12,P256&gt;=$F$4,N256&lt;=$H$4),L256,"")</f>
        <v>40</v>
      </c>
    </row>
    <row r="258">
      <c r="L258" s="1" t="inlineStr">
        <is>
          <t xml:space="preserve">c</t>
        </is>
      </c>
      <c r="M258" s="1" t="inlineStr">
        <is>
          <t xml:space="preserve">Erlang B</t>
        </is>
      </c>
      <c r="N258" s="1" t="inlineStr">
        <is>
          <t xml:space="preserve">ρ</t>
        </is>
      </c>
      <c r="O258" s="1" t="inlineStr">
        <is>
          <t xml:space="preserve">P espera</t>
        </is>
      </c>
      <c r="P258" s="1" t="inlineStr">
        <is>
          <t xml:space="preserve">SL</t>
        </is>
      </c>
      <c r="Q258" s="1" t="inlineStr">
        <is>
          <t xml:space="preserve">c factible</t>
        </is>
      </c>
    </row>
    <row r="259">
      <c r="L259" s="0">
        <v>1</v>
      </c>
      <c r="M259" s="3">
        <f>$C$13/(1+$C$13)</f>
        <v>0.625</v>
      </c>
      <c r="N259" s="3">
        <f>$C$13/L259</f>
        <v>1.6666666666666667</v>
      </c>
      <c r="O259" s="3">
        <f>IF(L259&gt;$C$13,M259/(1-N259+N259*M259),1)</f>
        <v>1</v>
      </c>
      <c r="P259" s="3">
        <f>IF(L259&gt;$C$13,1-O259*EXP(-(L259-$C$13)*$D$4/$B$4),0)</f>
        <v>0</v>
      </c>
      <c r="Q259" s="3" t="str">
        <f>IF(AND(L259&gt;$C$13,P259&gt;=$F$4,N259&lt;=$H$4),L259,"")</f>
        <v/>
      </c>
    </row>
    <row r="260">
      <c r="L260" s="0">
        <v>2</v>
      </c>
      <c r="M260" s="3">
        <f>$C$13*M259/(L260+$C$13*M259)</f>
        <v>0.3424657534246575</v>
      </c>
      <c r="N260" s="3">
        <f>$C$13/L260</f>
        <v>0.8333333333333334</v>
      </c>
      <c r="O260" s="3">
        <f>IF(L260&gt;$C$13,M260/(1-N260+N260*M260),1)</f>
        <v>0.7575757575757576</v>
      </c>
      <c r="P260" s="3">
        <f>IF(L260&gt;$C$13,1-O260*EXP(-(L260-$C$13)*$D$4/$B$4),0)</f>
        <v>0.6110476370965211</v>
      </c>
      <c r="Q260" s="3" t="str">
        <f>IF(AND(L260&gt;$C$13,P260&gt;=$F$4,N260&lt;=$H$4),L260,"")</f>
        <v/>
      </c>
    </row>
    <row r="261">
      <c r="L261" s="0">
        <v>3</v>
      </c>
      <c r="M261" s="3">
        <f>$C$13*M260/(L261+$C$13*M260)</f>
        <v>0.159846547314578</v>
      </c>
      <c r="N261" s="3">
        <f>$C$13/L261</f>
        <v>0.5555555555555556</v>
      </c>
      <c r="O261" s="3">
        <f>IF(L261&gt;$C$13,M261/(1-N261+N261*M261),1)</f>
        <v>0.29976019184652275</v>
      </c>
      <c r="P261" s="3">
        <f>IF(L261&gt;$C$13,1-O261*EXP(-(L261-$C$13)*$D$4/$B$4),0)</f>
        <v>0.9791716273312945</v>
      </c>
      <c r="Q261" s="3">
        <f>IF(AND(L261&gt;$C$13,P261&gt;=$F$4,N261&lt;=$H$4),L261,"")</f>
        <v>3</v>
      </c>
    </row>
    <row r="262">
      <c r="L262" s="0">
        <v>4</v>
      </c>
      <c r="M262" s="3">
        <f>$C$13*M261/(L262+$C$13*M261)</f>
        <v>0.06244380057947847</v>
      </c>
      <c r="N262" s="3">
        <f>$C$13/L262</f>
        <v>0.4166666666666667</v>
      </c>
      <c r="O262" s="3">
        <f>IF(L262&gt;$C$13,M262/(1-N262+N262*M262),1)</f>
        <v>0.10247581570749306</v>
      </c>
      <c r="P262" s="3">
        <f>IF(L262&gt;$C$13,1-O262*EXP(-(L262-$C$13)*$D$4/$B$4),0)</f>
        <v>0.9990363622569791</v>
      </c>
      <c r="Q262" s="3">
        <f>IF(AND(L262&gt;$C$13,P262&gt;=$F$4,N262&lt;=$H$4),L262,"")</f>
        <v>4</v>
      </c>
    </row>
    <row r="263">
      <c r="L263" s="0">
        <v>5</v>
      </c>
      <c r="M263" s="3">
        <f>$C$13*M262/(L263+$C$13*M262)</f>
        <v>0.020390186610987862</v>
      </c>
      <c r="N263" s="3">
        <f>$C$13/L263</f>
        <v>0.33333333333333337</v>
      </c>
      <c r="O263" s="3">
        <f>IF(L263&gt;$C$13,M263/(1-N263+N263*M263),1)</f>
        <v>0.030276607082303925</v>
      </c>
      <c r="P263" s="3">
        <f>IF(L263&gt;$C$13,1-O263*EXP(-(L263-$C$13)*$D$4/$B$4),0)</f>
        <v>0.9999614689664372</v>
      </c>
      <c r="Q263" s="3">
        <f>IF(AND(L263&gt;$C$13,P263&gt;=$F$4,N263&lt;=$H$4),L263,"")</f>
        <v>5</v>
      </c>
    </row>
    <row r="264">
      <c r="L264" s="0">
        <v>6</v>
      </c>
      <c r="M264" s="3">
        <f>$C$13*M263/(L264+$C$13*M263)</f>
        <v>0.005632041177880586</v>
      </c>
      <c r="N264" s="3">
        <f>$C$13/L264</f>
        <v>0.2777777777777778</v>
      </c>
      <c r="O264" s="3">
        <f>IF(L264&gt;$C$13,M264/(1-N264+N264*M264),1)</f>
        <v>0.007781355126107754</v>
      </c>
      <c r="P264" s="3">
        <f>IF(L264&gt;$C$13,1-O264*EXP(-(L264-$C$13)*$D$4/$B$4),0)</f>
        <v>0.9999986597996522</v>
      </c>
      <c r="Q264" s="3">
        <f>IF(AND(L264&gt;$C$13,P264&gt;=$F$4,N264&lt;=$H$4),L264,"")</f>
        <v>6</v>
      </c>
    </row>
    <row r="265">
      <c r="L265" s="0">
        <v>7</v>
      </c>
      <c r="M265" s="3">
        <f>$C$13*M264/(L265+$C$13*M264)</f>
        <v>0.0013391664136892035</v>
      </c>
      <c r="N265" s="3">
        <f>$C$13/L265</f>
        <v>0.2380952380952381</v>
      </c>
      <c r="O265" s="3">
        <f>IF(L265&gt;$C$13,M265/(1-N265+N265*M265),1)</f>
        <v>0.0017569206651088828</v>
      </c>
      <c r="P265" s="3">
        <f>IF(L265&gt;$C$13,1-O265*EXP(-(L265-$C$13)*$D$4/$B$4),0)</f>
        <v>0.9999999590477585</v>
      </c>
      <c r="Q265" s="3">
        <f>IF(AND(L265&gt;$C$13,P265&gt;=$F$4,N265&lt;=$H$4),L265,"")</f>
        <v>7</v>
      </c>
    </row>
    <row r="266">
      <c r="L266" s="0">
        <v>8</v>
      </c>
      <c r="M266" s="3">
        <f>$C$13*M265/(L266+$C$13*M265)</f>
        <v>0.0002789151874662252</v>
      </c>
      <c r="N266" s="3">
        <f>$C$13/L266</f>
        <v>0.20833333333333334</v>
      </c>
      <c r="O266" s="3">
        <f>IF(L266&gt;$C$13,M266/(1-N266+N266*M266),1)</f>
        <v>0.0003522880635122643</v>
      </c>
      <c r="P266" s="3">
        <f>IF(L266&gt;$C$13,1-O266*EXP(-(L266-$C$13)*$D$4/$B$4),0)</f>
        <v>0.9999999988886918</v>
      </c>
      <c r="Q266" s="3">
        <f>IF(AND(L266&gt;$C$13,P266&gt;=$F$4,N266&lt;=$H$4),L266,"")</f>
        <v>8</v>
      </c>
    </row>
    <row r="267">
      <c r="L267" s="0">
        <v>9</v>
      </c>
      <c r="M267" s="3">
        <f>$C$13*M266/(L267+$C$13*M266)</f>
        <v>0.00005164829295794676</v>
      </c>
      <c r="N267" s="3">
        <f>$C$13/L267</f>
        <v>0.1851851851851852</v>
      </c>
      <c r="O267" s="3">
        <f>IF(L267&gt;$C$13,M267/(1-N267+N267*M267),1)</f>
        <v>0.00006338579731924618</v>
      </c>
      <c r="P267" s="3">
        <f>IF(L267&gt;$C$13,1-O267*EXP(-(L267-$C$13)*$D$4/$B$4),0)</f>
        <v>0.9999999999729393</v>
      </c>
      <c r="Q267" s="3">
        <f>IF(AND(L267&gt;$C$13,P267&gt;=$F$4,N267&lt;=$H$4),L267,"")</f>
        <v>9</v>
      </c>
    </row>
    <row r="268">
      <c r="L268" s="0">
        <v>10</v>
      </c>
      <c r="M268" s="3">
        <f>$C$13*M267/(L268+$C$13*M267)</f>
        <v>0.000008607974728457703</v>
      </c>
      <c r="N268" s="3">
        <f>$C$13/L268</f>
        <v>0.16666666666666669</v>
      </c>
      <c r="O268" s="3">
        <f>IF(L268&gt;$C$13,M268/(1-N268+N268*M268),1)</f>
        <v>0.000010329551890844918</v>
      </c>
      <c r="P268" s="3">
        <f>IF(L268&gt;$C$13,1-O268*EXP(-(L268-$C$13)*$D$4/$B$4),0)</f>
        <v>0.9999999999994031</v>
      </c>
      <c r="Q268" s="3">
        <f>IF(AND(L268&gt;$C$13,P268&gt;=$F$4,N268&lt;=$H$4),L268,"")</f>
        <v>10</v>
      </c>
    </row>
    <row r="269">
      <c r="L269" s="0">
        <v>11</v>
      </c>
      <c r="M269" s="3">
        <f>$C$13*M268/(L269+$C$13*M268)</f>
        <v>0.0000013042368941847694</v>
      </c>
      <c r="N269" s="3">
        <f>$C$13/L269</f>
        <v>0.15151515151515152</v>
      </c>
      <c r="O269" s="3">
        <f>IF(L269&gt;$C$13,M269/(1-N269+N269*M269),1)</f>
        <v>0.0000015371359815767892</v>
      </c>
      <c r="P269" s="3">
        <f>IF(L269&gt;$C$13,1-O269*EXP(-(L269-$C$13)*$D$4/$B$4),0)</f>
        <v>0.999999999999988</v>
      </c>
      <c r="Q269" s="3">
        <f>IF(AND(L269&gt;$C$13,P269&gt;=$F$4,N269&lt;=$H$4),L269,"")</f>
        <v>11</v>
      </c>
    </row>
    <row r="270">
      <c r="L270" s="0">
        <v>12</v>
      </c>
      <c r="M270" s="3">
        <f>$C$13*M269/(L270+$C$13*M269)</f>
        <v>1.8114398026807045e-7</v>
      </c>
      <c r="N270" s="3">
        <f>$C$13/L270</f>
        <v>0.1388888888888889</v>
      </c>
      <c r="O270" s="3">
        <f>IF(L270&gt;$C$13,M270/(1-N270+N270*M270),1)</f>
        <v>2.1036074513298781e-7</v>
      </c>
      <c r="P270" s="3">
        <f>IF(L270&gt;$C$13,1-O270*EXP(-(L270-$C$13)*$D$4/$B$4),0)</f>
        <v>0.9999999999999998</v>
      </c>
      <c r="Q270" s="3">
        <f>IF(AND(L270&gt;$C$13,P270&gt;=$F$4,N270&lt;=$H$4),L270,"")</f>
        <v>12</v>
      </c>
    </row>
    <row r="271">
      <c r="L271" s="0">
        <v>13</v>
      </c>
      <c r="M271" s="3">
        <f>$C$13*M270/(L271+$C$13*M270)</f>
        <v>2.32235866745202e-8</v>
      </c>
      <c r="N271" s="3">
        <f>$C$13/L271</f>
        <v>0.12820512820512822</v>
      </c>
      <c r="O271" s="3">
        <f>IF(L271&gt;$C$13,M271/(1-N271+N271*M271),1)</f>
        <v>2.6638819918030676e-8</v>
      </c>
      <c r="P271" s="3">
        <f>IF(L271&gt;$C$13,1-O271*EXP(-(L271-$C$13)*$D$4/$B$4),0)</f>
        <v>1</v>
      </c>
      <c r="Q271" s="3">
        <f>IF(AND(L271&gt;$C$13,P271&gt;=$F$4,N271&lt;=$H$4),L271,"")</f>
        <v>13</v>
      </c>
    </row>
    <row r="272">
      <c r="L272" s="0">
        <v>14</v>
      </c>
      <c r="M272" s="3">
        <f>$C$13*M271/(L272+$C$13*M271)</f>
        <v>2.764712691704007e-9</v>
      </c>
      <c r="N272" s="3">
        <f>$C$13/L272</f>
        <v>0.11904761904761905</v>
      </c>
      <c r="O272" s="3">
        <f>IF(L272&gt;$C$13,M272/(1-N272+N272*M272),1)</f>
        <v>3.1383225137347426e-9</v>
      </c>
      <c r="P272" s="3">
        <f>IF(L272&gt;$C$13,1-O272*EXP(-(L272-$C$13)*$D$4/$B$4),0)</f>
        <v>1</v>
      </c>
      <c r="Q272" s="3">
        <f>IF(AND(L272&gt;$C$13,P272&gt;=$F$4,N272&lt;=$H$4),L272,"")</f>
        <v>14</v>
      </c>
    </row>
    <row r="273">
      <c r="L273" s="0">
        <v>15</v>
      </c>
      <c r="M273" s="3">
        <f>$C$13*M272/(L273+$C$13*M272)</f>
        <v>3.0719029898385716e-10</v>
      </c>
      <c r="N273" s="3">
        <f>$C$13/L273</f>
        <v>0.11111111111111112</v>
      </c>
      <c r="O273" s="3">
        <f>IF(L273&gt;$C$13,M273/(1-N273+N273*M273),1)</f>
        <v>3.455890863435691e-10</v>
      </c>
      <c r="P273" s="3">
        <f>IF(L273&gt;$C$13,1-O273*EXP(-(L273-$C$13)*$D$4/$B$4),0)</f>
        <v>1</v>
      </c>
      <c r="Q273" s="3">
        <f>IF(AND(L273&gt;$C$13,P273&gt;=$F$4,N273&lt;=$H$4),L273,"")</f>
        <v>15</v>
      </c>
    </row>
    <row r="274">
      <c r="L274" s="0">
        <v>16</v>
      </c>
      <c r="M274" s="3">
        <f>$C$13*M273/(L274+$C$13*M273)</f>
        <v>3.199898947646118e-11</v>
      </c>
      <c r="N274" s="3">
        <f>$C$13/L274</f>
        <v>0.10416666666666667</v>
      </c>
      <c r="O274" s="3">
        <f>IF(L274&gt;$C$13,M274/(1-N274+N274*M274),1)</f>
        <v>3.571980220614934e-11</v>
      </c>
      <c r="P274" s="3">
        <f>IF(L274&gt;$C$13,1-O274*EXP(-(L274-$C$13)*$D$4/$B$4),0)</f>
        <v>1</v>
      </c>
      <c r="Q274" s="3">
        <f>IF(AND(L274&gt;$C$13,P274&gt;=$F$4,N274&lt;=$H$4),L274,"")</f>
        <v>16</v>
      </c>
    </row>
    <row r="275">
      <c r="L275" s="0">
        <v>17</v>
      </c>
      <c r="M275" s="3">
        <f>$C$13*M274/(L275+$C$13*M274)</f>
        <v>3.137155831015764e-12</v>
      </c>
      <c r="N275" s="3">
        <f>$C$13/L275</f>
        <v>0.09803921568627451</v>
      </c>
      <c r="O275" s="3">
        <f>IF(L275&gt;$C$13,M275/(1-N275+N275*M275),1)</f>
        <v>3.4781510300380306e-12</v>
      </c>
      <c r="P275" s="3">
        <f>IF(L275&gt;$C$13,1-O275*EXP(-(L275-$C$13)*$D$4/$B$4),0)</f>
        <v>1</v>
      </c>
      <c r="Q275" s="3">
        <f>IF(AND(L275&gt;$C$13,P275&gt;=$F$4,N275&lt;=$H$4),L275,"")</f>
        <v>17</v>
      </c>
    </row>
    <row r="276">
      <c r="L276" s="0">
        <v>18</v>
      </c>
      <c r="M276" s="3">
        <f>$C$13*M275/(L276+$C$13*M275)</f>
        <v>2.9047739176063446e-13</v>
      </c>
      <c r="N276" s="3">
        <f>$C$13/L276</f>
        <v>0.0925925925925926</v>
      </c>
      <c r="O276" s="3">
        <f>IF(L276&gt;$C$13,M276/(1-N276+N276*M276),1)</f>
        <v>3.2011794194028157e-13</v>
      </c>
      <c r="P276" s="3">
        <f>IF(L276&gt;$C$13,1-O276*EXP(-(L276-$C$13)*$D$4/$B$4),0)</f>
        <v>1</v>
      </c>
      <c r="Q276" s="3">
        <f>IF(AND(L276&gt;$C$13,P276&gt;=$F$4,N276&lt;=$H$4),L276,"")</f>
        <v>18</v>
      </c>
    </row>
    <row r="277">
      <c r="L277" s="0">
        <v>19</v>
      </c>
      <c r="M277" s="3">
        <f>$C$13*M276/(L277+$C$13*M276)</f>
        <v>2.5480472961458518e-14</v>
      </c>
      <c r="N277" s="3">
        <f>$C$13/L277</f>
        <v>0.08771929824561404</v>
      </c>
      <c r="O277" s="3">
        <f>IF(L277&gt;$C$13,M277/(1-N277+N277*M277),1)</f>
        <v>2.793051843852177e-14</v>
      </c>
      <c r="P277" s="3">
        <f>IF(L277&gt;$C$13,1-O277*EXP(-(L277-$C$13)*$D$4/$B$4),0)</f>
        <v>1</v>
      </c>
      <c r="Q277" s="3">
        <f>IF(AND(L277&gt;$C$13,P277&gt;=$F$4,N277&lt;=$H$4),L277,"")</f>
        <v>19</v>
      </c>
    </row>
    <row r="278">
      <c r="L278" s="0">
        <v>20</v>
      </c>
      <c r="M278" s="3">
        <f>$C$13*M277/(L278+$C$13*M277)</f>
        <v>2.1233727467882052e-15</v>
      </c>
      <c r="N278" s="3">
        <f>$C$13/L278</f>
        <v>0.08333333333333334</v>
      </c>
      <c r="O278" s="3">
        <f>IF(L278&gt;$C$13,M278/(1-N278+N278*M278),1)</f>
        <v>2.3164066328598597e-15</v>
      </c>
      <c r="P278" s="3">
        <f>IF(L278&gt;$C$13,1-O278*EXP(-(L278-$C$13)*$D$4/$B$4),0)</f>
        <v>1</v>
      </c>
      <c r="Q278" s="3">
        <f>IF(AND(L278&gt;$C$13,P278&gt;=$F$4,N278&lt;=$H$4),L278,"")</f>
        <v>20</v>
      </c>
    </row>
    <row r="279">
      <c r="L279" s="0">
        <v>21</v>
      </c>
      <c r="M279" s="3">
        <f>$C$13*M278/(L279+$C$13*M278)</f>
        <v>1.6852164657049247e-16</v>
      </c>
      <c r="N279" s="3">
        <f>$C$13/L279</f>
        <v>0.07936507936507937</v>
      </c>
      <c r="O279" s="3">
        <f>IF(L279&gt;$C$13,M279/(1-N279+N279*M279),1)</f>
        <v>1.8304937472312114e-16</v>
      </c>
      <c r="P279" s="3">
        <f>IF(L279&gt;$C$13,1-O279*EXP(-(L279-$C$13)*$D$4/$B$4),0)</f>
        <v>1</v>
      </c>
      <c r="Q279" s="3">
        <f>IF(AND(L279&gt;$C$13,P279&gt;=$F$4,N279&lt;=$H$4),L279,"")</f>
        <v>21</v>
      </c>
    </row>
    <row r="280">
      <c r="L280" s="0">
        <v>22</v>
      </c>
      <c r="M280" s="3">
        <f>$C$13*M279/(L280+$C$13*M279)</f>
        <v>1.276679140685549e-17</v>
      </c>
      <c r="N280" s="3">
        <f>$C$13/L280</f>
        <v>0.07575757575757576</v>
      </c>
      <c r="O280" s="3">
        <f>IF(L280&gt;$C$13,M280/(1-N280+N280*M280),1)</f>
        <v>1.3813249718892826e-17</v>
      </c>
      <c r="P280" s="3">
        <f>IF(L280&gt;$C$13,1-O280*EXP(-(L280-$C$13)*$D$4/$B$4),0)</f>
        <v>1</v>
      </c>
      <c r="Q280" s="3">
        <f>IF(AND(L280&gt;$C$13,P280&gt;=$F$4,N280&lt;=$H$4),L280,"")</f>
        <v>22</v>
      </c>
    </row>
    <row r="281">
      <c r="L281" s="0">
        <v>23</v>
      </c>
      <c r="M281" s="3">
        <f>$C$13*M280/(L281+$C$13*M280)</f>
        <v>9.251298120909775e-19</v>
      </c>
      <c r="N281" s="3">
        <f>$C$13/L281</f>
        <v>0.07246376811594203</v>
      </c>
      <c r="O281" s="3">
        <f>IF(L281&gt;$C$13,M281/(1-N281+N281*M281),1)</f>
        <v>9.974055786605851e-19</v>
      </c>
      <c r="P281" s="3">
        <f>IF(L281&gt;$C$13,1-O281*EXP(-(L281-$C$13)*$D$4/$B$4),0)</f>
        <v>1</v>
      </c>
      <c r="Q281" s="3">
        <f>IF(AND(L281&gt;$C$13,P281&gt;=$F$4,N281&lt;=$H$4),L281,"")</f>
        <v>23</v>
      </c>
    </row>
    <row r="282">
      <c r="L282" s="0">
        <v>24</v>
      </c>
      <c r="M282" s="3">
        <f>$C$13*M281/(L282+$C$13*M281)</f>
        <v>6.424512583965122e-20</v>
      </c>
      <c r="N282" s="3">
        <f>$C$13/L282</f>
        <v>0.06944444444444445</v>
      </c>
      <c r="O282" s="3">
        <f>IF(L282&gt;$C$13,M282/(1-N282+N282*M282),1)</f>
        <v>6.903953821574459e-20</v>
      </c>
      <c r="P282" s="3">
        <f>IF(L282&gt;$C$13,1-O282*EXP(-(L282-$C$13)*$D$4/$B$4),0)</f>
        <v>1</v>
      </c>
      <c r="Q282" s="3">
        <f>IF(AND(L282&gt;$C$13,P282&gt;=$F$4,N282&lt;=$H$4),L282,"")</f>
        <v>24</v>
      </c>
    </row>
    <row r="283">
      <c r="L283" s="0">
        <v>25</v>
      </c>
      <c r="M283" s="3">
        <f>$C$13*M282/(L283+$C$13*M282)</f>
        <v>4.283008389310081e-21</v>
      </c>
      <c r="N283" s="3">
        <f>$C$13/L283</f>
        <v>0.06666666666666667</v>
      </c>
      <c r="O283" s="3">
        <f>IF(L283&gt;$C$13,M283/(1-N283+N283*M283),1)</f>
        <v>4.588937559975087e-21</v>
      </c>
      <c r="P283" s="3">
        <f>IF(L283&gt;$C$13,1-O283*EXP(-(L283-$C$13)*$D$4/$B$4),0)</f>
        <v>1</v>
      </c>
      <c r="Q283" s="3">
        <f>IF(AND(L283&gt;$C$13,P283&gt;=$F$4,N283&lt;=$H$4),L283,"")</f>
        <v>25</v>
      </c>
    </row>
    <row r="284">
      <c r="L284" s="0">
        <v>26</v>
      </c>
      <c r="M284" s="3">
        <f>$C$13*M283/(L284+$C$13*M283)</f>
        <v>2.7455181982756933e-22</v>
      </c>
      <c r="N284" s="3">
        <f>$C$13/L284</f>
        <v>0.06410256410256411</v>
      </c>
      <c r="O284" s="3">
        <f>IF(L284&gt;$C$13,M284/(1-N284+N284*M284),1)</f>
        <v>2.9335673899384123e-22</v>
      </c>
      <c r="P284" s="3">
        <f>IF(L284&gt;$C$13,1-O284*EXP(-(L284-$C$13)*$D$4/$B$4),0)</f>
        <v>1</v>
      </c>
      <c r="Q284" s="3">
        <f>IF(AND(L284&gt;$C$13,P284&gt;=$F$4,N284&lt;=$H$4),L284,"")</f>
        <v>26</v>
      </c>
    </row>
    <row r="285">
      <c r="L285" s="0">
        <v>27</v>
      </c>
      <c r="M285" s="3">
        <f>$C$13*M284/(L285+$C$13*M284)</f>
        <v>1.6947643199232673e-23</v>
      </c>
      <c r="N285" s="3">
        <f>$C$13/L285</f>
        <v>0.0617283950617284</v>
      </c>
      <c r="O285" s="3">
        <f>IF(L285&gt;$C$13,M285/(1-N285+N285*M285),1)</f>
        <v>1.8062619725497982e-23</v>
      </c>
      <c r="P285" s="3">
        <f>IF(L285&gt;$C$13,1-O285*EXP(-(L285-$C$13)*$D$4/$B$4),0)</f>
        <v>1</v>
      </c>
      <c r="Q285" s="3">
        <f>IF(AND(L285&gt;$C$13,P285&gt;=$F$4,N285&lt;=$H$4),L285,"")</f>
        <v>27</v>
      </c>
    </row>
    <row r="286">
      <c r="L286" s="0">
        <v>28</v>
      </c>
      <c r="M286" s="3">
        <f>$C$13*M285/(L286+$C$13*M285)</f>
        <v>1.0087882856686117e-24</v>
      </c>
      <c r="N286" s="3">
        <f>$C$13/L286</f>
        <v>0.05952380952380953</v>
      </c>
      <c r="O286" s="3">
        <f>IF(L286&gt;$C$13,M286/(1-N286+N286*M286),1)</f>
        <v>1.0726356455210555e-24</v>
      </c>
      <c r="P286" s="3">
        <f>IF(L286&gt;$C$13,1-O286*EXP(-(L286-$C$13)*$D$4/$B$4),0)</f>
        <v>1</v>
      </c>
      <c r="Q286" s="3">
        <f>IF(AND(L286&gt;$C$13,P286&gt;=$F$4,N286&lt;=$H$4),L286,"")</f>
        <v>28</v>
      </c>
    </row>
    <row r="287">
      <c r="L287" s="0">
        <v>29</v>
      </c>
      <c r="M287" s="3">
        <f>$C$13*M286/(L287+$C$13*M286)</f>
        <v>5.797633825681677e-26</v>
      </c>
      <c r="N287" s="3">
        <f>$C$13/L287</f>
        <v>0.05747126436781609</v>
      </c>
      <c r="O287" s="3">
        <f>IF(L287&gt;$C$13,M287/(1-N287+N287*M287),1)</f>
        <v>6.151148083345195e-26</v>
      </c>
      <c r="P287" s="3">
        <f>IF(L287&gt;$C$13,1-O287*EXP(-(L287-$C$13)*$D$4/$B$4),0)</f>
        <v>1</v>
      </c>
      <c r="Q287" s="3">
        <f>IF(AND(L287&gt;$C$13,P287&gt;=$F$4,N287&lt;=$H$4),L287,"")</f>
        <v>29</v>
      </c>
    </row>
    <row r="288">
      <c r="L288" s="0">
        <v>30</v>
      </c>
      <c r="M288" s="3">
        <f>$C$13*M287/(L288+$C$13*M287)</f>
        <v>3.220907680934265e-27</v>
      </c>
      <c r="N288" s="3">
        <f>$C$13/L288</f>
        <v>0.05555555555555556</v>
      </c>
      <c r="O288" s="3">
        <f>IF(L288&gt;$C$13,M288/(1-N288+N288*M288),1)</f>
        <v>3.410372838636281e-27</v>
      </c>
      <c r="P288" s="3">
        <f>IF(L288&gt;$C$13,1-O288*EXP(-(L288-$C$13)*$D$4/$B$4),0)</f>
        <v>1</v>
      </c>
      <c r="Q288" s="3">
        <f>IF(AND(L288&gt;$C$13,P288&gt;=$F$4,N288&lt;=$H$4),L288,"")</f>
        <v>30</v>
      </c>
    </row>
    <row r="289">
      <c r="L289" s="0">
        <v>31</v>
      </c>
      <c r="M289" s="3">
        <f>$C$13*M288/(L289+$C$13*M288)</f>
        <v>1.7316707962012178e-28</v>
      </c>
      <c r="N289" s="3">
        <f>$C$13/L289</f>
        <v>0.053763440860215055</v>
      </c>
      <c r="O289" s="3">
        <f>IF(L289&gt;$C$13,M289/(1-N289+N289*M289),1)</f>
        <v>1.8300611823490143e-28</v>
      </c>
      <c r="P289" s="3">
        <f>IF(L289&gt;$C$13,1-O289*EXP(-(L289-$C$13)*$D$4/$B$4),0)</f>
        <v>1</v>
      </c>
      <c r="Q289" s="3">
        <f>IF(AND(L289&gt;$C$13,P289&gt;=$F$4,N289&lt;=$H$4),L289,"")</f>
        <v>31</v>
      </c>
    </row>
    <row r="290">
      <c r="L290" s="0">
        <v>32</v>
      </c>
      <c r="M290" s="3">
        <f>$C$13*M289/(L290+$C$13*M289)</f>
        <v>9.019118730214677e-30</v>
      </c>
      <c r="N290" s="3">
        <f>$C$13/L290</f>
        <v>0.052083333333333336</v>
      </c>
      <c r="O290" s="3">
        <f>IF(L290&gt;$C$13,M290/(1-N290+N290*M290),1)</f>
        <v>9.514674704402296e-30</v>
      </c>
      <c r="P290" s="3">
        <f>IF(L290&gt;$C$13,1-O290*EXP(-(L290-$C$13)*$D$4/$B$4),0)</f>
        <v>1</v>
      </c>
      <c r="Q290" s="3">
        <f>IF(AND(L290&gt;$C$13,P290&gt;=$F$4,N290&lt;=$H$4),L290,"")</f>
        <v>32</v>
      </c>
    </row>
    <row r="291">
      <c r="L291" s="0">
        <v>33</v>
      </c>
      <c r="M291" s="3">
        <f>$C$13*M290/(L291+$C$13*M290)</f>
        <v>4.555110469805393e-31</v>
      </c>
      <c r="N291" s="3">
        <f>$C$13/L291</f>
        <v>0.050505050505050504</v>
      </c>
      <c r="O291" s="3">
        <f>IF(L291&gt;$C$13,M291/(1-N291+N291*M291),1)</f>
        <v>4.797403579901424e-31</v>
      </c>
      <c r="P291" s="3">
        <f>IF(L291&gt;$C$13,1-O291*EXP(-(L291-$C$13)*$D$4/$B$4),0)</f>
        <v>1</v>
      </c>
      <c r="Q291" s="3">
        <f>IF(AND(L291&gt;$C$13,P291&gt;=$F$4,N291&lt;=$H$4),L291,"")</f>
        <v>33</v>
      </c>
    </row>
    <row r="292">
      <c r="L292" s="0">
        <v>34</v>
      </c>
      <c r="M292" s="3">
        <f>$C$13*M291/(L292+$C$13*M291)</f>
        <v>2.2328972891202906e-32</v>
      </c>
      <c r="N292" s="3">
        <f>$C$13/L292</f>
        <v>0.049019607843137254</v>
      </c>
      <c r="O292" s="3">
        <f>IF(L292&gt;$C$13,M292/(1-N292+N292*M292),1)</f>
        <v>2.3479950875285532e-32</v>
      </c>
      <c r="P292" s="3">
        <f>IF(L292&gt;$C$13,1-O292*EXP(-(L292-$C$13)*$D$4/$B$4),0)</f>
        <v>1</v>
      </c>
      <c r="Q292" s="3">
        <f>IF(AND(L292&gt;$C$13,P292&gt;=$F$4,N292&lt;=$H$4),L292,"")</f>
        <v>34</v>
      </c>
    </row>
    <row r="293">
      <c r="L293" s="0">
        <v>35</v>
      </c>
      <c r="M293" s="3">
        <f>$C$13*M292/(L293+$C$13*M292)</f>
        <v>1.0632844233906146e-33</v>
      </c>
      <c r="N293" s="3">
        <f>$C$13/L293</f>
        <v>0.04761904761904762</v>
      </c>
      <c r="O293" s="3">
        <f>IF(L293&gt;$C$13,M293/(1-N293+N293*M293),1)</f>
        <v>1.1164486445601454e-33</v>
      </c>
      <c r="P293" s="3">
        <f>IF(L293&gt;$C$13,1-O293*EXP(-(L293-$C$13)*$D$4/$B$4),0)</f>
        <v>1</v>
      </c>
      <c r="Q293" s="3">
        <f>IF(AND(L293&gt;$C$13,P293&gt;=$F$4,N293&lt;=$H$4),L293,"")</f>
        <v>35</v>
      </c>
    </row>
    <row r="294">
      <c r="L294" s="0">
        <v>36</v>
      </c>
      <c r="M294" s="3">
        <f>$C$13*M293/(L294+$C$13*M293)</f>
        <v>4.922613071252846e-35</v>
      </c>
      <c r="N294" s="3">
        <f>$C$13/L294</f>
        <v>0.0462962962962963</v>
      </c>
      <c r="O294" s="3">
        <f>IF(L294&gt;$C$13,M294/(1-N294+N294*M294),1)</f>
        <v>5.161574870828227e-35</v>
      </c>
      <c r="P294" s="3">
        <f>IF(L294&gt;$C$13,1-O294*EXP(-(L294-$C$13)*$D$4/$B$4),0)</f>
        <v>1</v>
      </c>
      <c r="Q294" s="3">
        <f>IF(AND(L294&gt;$C$13,P294&gt;=$F$4,N294&lt;=$H$4),L294,"")</f>
        <v>36</v>
      </c>
    </row>
    <row r="295">
      <c r="L295" s="0">
        <v>37</v>
      </c>
      <c r="M295" s="3">
        <f>$C$13*M294/(L295+$C$13*M294)</f>
        <v>2.21739327533912e-36</v>
      </c>
      <c r="N295" s="3">
        <f>$C$13/L295</f>
        <v>0.04504504504504505</v>
      </c>
      <c r="O295" s="3">
        <f>IF(L295&gt;$C$13,M295/(1-N295+N295*M295),1)</f>
        <v>2.3219872977607768e-36</v>
      </c>
      <c r="P295" s="3">
        <f>IF(L295&gt;$C$13,1-O295*EXP(-(L295-$C$13)*$D$4/$B$4),0)</f>
        <v>1</v>
      </c>
      <c r="Q295" s="3">
        <f>IF(AND(L295&gt;$C$13,P295&gt;=$F$4,N295&lt;=$H$4),L295,"")</f>
        <v>37</v>
      </c>
    </row>
    <row r="296">
      <c r="L296" s="0">
        <v>38</v>
      </c>
      <c r="M296" s="3">
        <f>$C$13*M295/(L296+$C$13*M295)</f>
        <v>9.725409102364564e-38</v>
      </c>
      <c r="N296" s="3">
        <f>$C$13/L296</f>
        <v>0.04385964912280702</v>
      </c>
      <c r="O296" s="3">
        <f>IF(L296&gt;$C$13,M296/(1-N296+N296*M296),1)</f>
        <v>1.0171528785959268e-37</v>
      </c>
      <c r="P296" s="3">
        <f>IF(L296&gt;$C$13,1-O296*EXP(-(L296-$C$13)*$D$4/$B$4),0)</f>
        <v>1</v>
      </c>
      <c r="Q296" s="3">
        <f>IF(AND(L296&gt;$C$13,P296&gt;=$F$4,N296&lt;=$H$4),L296,"")</f>
        <v>38</v>
      </c>
    </row>
    <row r="297">
      <c r="L297" s="0">
        <v>39</v>
      </c>
      <c r="M297" s="3">
        <f>$C$13*M296/(L297+$C$13*M296)</f>
        <v>4.156157736053233e-39</v>
      </c>
      <c r="N297" s="3">
        <f>$C$13/L297</f>
        <v>0.042735042735042736</v>
      </c>
      <c r="O297" s="3">
        <f>IF(L297&gt;$C$13,M297/(1-N297+N297*M297),1)</f>
        <v>4.3417004921270374e-39</v>
      </c>
      <c r="P297" s="3">
        <f>IF(L297&gt;$C$13,1-O297*EXP(-(L297-$C$13)*$D$4/$B$4),0)</f>
        <v>1</v>
      </c>
      <c r="Q297" s="3">
        <f>IF(AND(L297&gt;$C$13,P297&gt;=$F$4,N297&lt;=$H$4),L297,"")</f>
        <v>39</v>
      </c>
    </row>
    <row r="298">
      <c r="L298" s="0">
        <v>40</v>
      </c>
      <c r="M298" s="3">
        <f>$C$13*M297/(L298+$C$13*M297)</f>
        <v>1.7317323900221802e-40</v>
      </c>
      <c r="N298" s="3">
        <f>$C$13/L298</f>
        <v>0.04166666666666667</v>
      </c>
      <c r="O298" s="3">
        <f>IF(L298&gt;$C$13,M298/(1-N298+N298*M298),1)</f>
        <v>1.80702510263184e-40</v>
      </c>
      <c r="P298" s="3">
        <f>IF(L298&gt;$C$13,1-O298*EXP(-(L298-$C$13)*$D$4/$B$4),0)</f>
        <v>1</v>
      </c>
      <c r="Q298" s="3">
        <f>IF(AND(L298&gt;$C$13,P298&gt;=$F$4,N298&lt;=$H$4),L298,"")</f>
        <v>40</v>
      </c>
    </row>
    <row r="300">
      <c r="L300" s="1" t="inlineStr">
        <is>
          <t xml:space="preserve">c</t>
        </is>
      </c>
      <c r="M300" s="1" t="inlineStr">
        <is>
          <t xml:space="preserve">Erlang B</t>
        </is>
      </c>
      <c r="N300" s="1" t="inlineStr">
        <is>
          <t xml:space="preserve">ρ</t>
        </is>
      </c>
      <c r="O300" s="1" t="inlineStr">
        <is>
          <t xml:space="preserve">P espera</t>
        </is>
      </c>
      <c r="P300" s="1" t="inlineStr">
        <is>
          <t xml:space="preserve">SL</t>
        </is>
      </c>
      <c r="Q300" s="1" t="inlineStr">
        <is>
          <t xml:space="preserve">c factible</t>
        </is>
      </c>
    </row>
    <row r="301">
      <c r="L301" s="0">
        <v>1</v>
      </c>
      <c r="M301" s="3">
        <f>$C$14/(1+$C$14)</f>
        <v>0.7000000000000001</v>
      </c>
      <c r="N301" s="3">
        <f>$C$14/L301</f>
        <v>2.3333333333333335</v>
      </c>
      <c r="O301" s="3">
        <f>IF(L301&gt;$C$14,M301/(1-N301+N301*M301),1)</f>
        <v>1</v>
      </c>
      <c r="P301" s="3">
        <f>IF(L301&gt;$C$14,1-O301*EXP(-(L301-$C$14)*$D$4/$B$4),0)</f>
        <v>0</v>
      </c>
      <c r="Q301" s="3" t="str">
        <f>IF(AND(L301&gt;$C$14,P301&gt;=$F$4,N301&lt;=$H$4),L301,"")</f>
        <v/>
      </c>
    </row>
    <row r="302">
      <c r="L302" s="0">
        <v>2</v>
      </c>
      <c r="M302" s="3">
        <f>$C$14*M301/(L302+$C$14*M301)</f>
        <v>0.44954128440366975</v>
      </c>
      <c r="N302" s="3">
        <f>$C$14/L302</f>
        <v>1.1666666666666667</v>
      </c>
      <c r="O302" s="3">
        <f>IF(L302&gt;$C$14,M302/(1-N302+N302*M302),1)</f>
        <v>1</v>
      </c>
      <c r="P302" s="3">
        <f>IF(L302&gt;$C$14,1-O302*EXP(-(L302-$C$14)*$D$4/$B$4),0)</f>
        <v>0</v>
      </c>
      <c r="Q302" s="3" t="str">
        <f>IF(AND(L302&gt;$C$14,P302&gt;=$F$4,N302&lt;=$H$4),L302,"")</f>
        <v/>
      </c>
    </row>
    <row r="303">
      <c r="L303" s="0">
        <v>3</v>
      </c>
      <c r="M303" s="3">
        <f>$C$14*M302/(L303+$C$14*M302)</f>
        <v>0.2590634441087613</v>
      </c>
      <c r="N303" s="3">
        <f>$C$14/L303</f>
        <v>0.7777777777777778</v>
      </c>
      <c r="O303" s="3">
        <f>IF(L303&gt;$C$14,M303/(1-N303+N303*M303),1)</f>
        <v>0.6114081996434938</v>
      </c>
      <c r="P303" s="3">
        <f>IF(L303&gt;$C$14,1-O303*EXP(-(L303-$C$14)*$D$4/$B$4),0)</f>
        <v>0.838834548353486</v>
      </c>
      <c r="Q303" s="3">
        <f>IF(AND(L303&gt;$C$14,P303&gt;=$F$4,N303&lt;=$H$4),L303,"")</f>
        <v>3</v>
      </c>
    </row>
    <row r="304">
      <c r="L304" s="0">
        <v>4</v>
      </c>
      <c r="M304" s="3">
        <f>$C$14*M303/(L304+$C$14*M303)</f>
        <v>0.1312810979277161</v>
      </c>
      <c r="N304" s="3">
        <f>$C$14/L304</f>
        <v>0.5833333333333334</v>
      </c>
      <c r="O304" s="3">
        <f>IF(L304&gt;$C$14,M304/(1-N304+N304*M304),1)</f>
        <v>0.26615674537191</v>
      </c>
      <c r="P304" s="3">
        <f>IF(L304&gt;$C$14,1-O304*EXP(-(L304-$C$14)*$D$4/$B$4),0)</f>
        <v>0.9905051260362762</v>
      </c>
      <c r="Q304" s="3">
        <f>IF(AND(L304&gt;$C$14,P304&gt;=$F$4,N304&lt;=$H$4),L304,"")</f>
        <v>4</v>
      </c>
    </row>
    <row r="305">
      <c r="L305" s="0">
        <v>5</v>
      </c>
      <c r="M305" s="3">
        <f>$C$14*M304/(L305+$C$14*M304)</f>
        <v>0.05772784414478158</v>
      </c>
      <c r="N305" s="3">
        <f>$C$14/L305</f>
        <v>0.4666666666666667</v>
      </c>
      <c r="O305" s="3">
        <f>IF(L305&gt;$C$14,M305/(1-N305+N305*M305),1)</f>
        <v>0.10303520742525396</v>
      </c>
      <c r="P305" s="3">
        <f>IF(L305&gt;$C$14,1-O305*EXP(-(L305-$C$14)*$D$4/$B$4),0)</f>
        <v>0.9995025511709468</v>
      </c>
      <c r="Q305" s="3">
        <f>IF(AND(L305&gt;$C$14,P305&gt;=$F$4,N305&lt;=$H$4),L305,"")</f>
        <v>5</v>
      </c>
    </row>
    <row r="306">
      <c r="L306" s="0">
        <v>6</v>
      </c>
      <c r="M306" s="3">
        <f>$C$14*M305/(L306+$C$14*M305)</f>
        <v>0.021956793366435218</v>
      </c>
      <c r="N306" s="3">
        <f>$C$14/L306</f>
        <v>0.3888888888888889</v>
      </c>
      <c r="O306" s="3">
        <f>IF(L306&gt;$C$14,M306/(1-N306+N306*M306),1)</f>
        <v>0.03543419379069583</v>
      </c>
      <c r="P306" s="3">
        <f>IF(L306&gt;$C$14,1-O306*EXP(-(L306-$C$14)*$D$4/$B$4),0)</f>
        <v>0.9999768475819641</v>
      </c>
      <c r="Q306" s="3">
        <f>IF(AND(L306&gt;$C$14,P306&gt;=$F$4,N306&lt;=$H$4),L306,"")</f>
        <v>6</v>
      </c>
    </row>
    <row r="307">
      <c r="L307" s="0">
        <v>7</v>
      </c>
      <c r="M307" s="3">
        <f>$C$14*M306/(L307+$C$14*M306)</f>
        <v>0.007265753572199664</v>
      </c>
      <c r="N307" s="3">
        <f>$C$14/L307</f>
        <v>0.33333333333333337</v>
      </c>
      <c r="O307" s="3">
        <f>IF(L307&gt;$C$14,M307/(1-N307+N307*M307),1)</f>
        <v>0.01085918029429229</v>
      </c>
      <c r="P307" s="3">
        <f>IF(L307&gt;$C$14,1-O307*EXP(-(L307-$C$14)*$D$4/$B$4),0)</f>
        <v>0.9999990397553873</v>
      </c>
      <c r="Q307" s="3">
        <f>IF(AND(L307&gt;$C$14,P307&gt;=$F$4,N307&lt;=$H$4),L307,"")</f>
        <v>7</v>
      </c>
    </row>
    <row r="308">
      <c r="L308" s="0">
        <v>8</v>
      </c>
      <c r="M308" s="3">
        <f>$C$14*M307/(L308+$C$14*M307)</f>
        <v>0.002114696706223588</v>
      </c>
      <c r="N308" s="3">
        <f>$C$14/L308</f>
        <v>0.2916666666666667</v>
      </c>
      <c r="O308" s="3">
        <f>IF(L308&gt;$C$14,M308/(1-N308+N308*M308),1)</f>
        <v>0.002982856828634798</v>
      </c>
      <c r="P308" s="3">
        <f>IF(L308&gt;$C$14,1-O308*EXP(-(L308-$C$14)*$D$4/$B$4),0)</f>
        <v>0.9999999643032826</v>
      </c>
      <c r="Q308" s="3">
        <f>IF(AND(L308&gt;$C$14,P308&gt;=$F$4,N308&lt;=$H$4),L308,"")</f>
        <v>8</v>
      </c>
    </row>
    <row r="309">
      <c r="L309" s="0">
        <v>9</v>
      </c>
      <c r="M309" s="3">
        <f>$C$14*M308/(L309+$C$14*M308)</f>
        <v>0.0005479542831015431</v>
      </c>
      <c r="N309" s="3">
        <f>$C$14/L309</f>
        <v>0.2592592592592593</v>
      </c>
      <c r="O309" s="3">
        <f>IF(L309&gt;$C$14,M309/(1-N309+N309*M309),1)</f>
        <v>0.000739596439424221</v>
      </c>
      <c r="P309" s="3">
        <f>IF(L309&gt;$C$14,1-O309*EXP(-(L309-$C$14)*$D$4/$B$4),0)</f>
        <v>0.999999998802152</v>
      </c>
      <c r="Q309" s="3">
        <f>IF(AND(L309&gt;$C$14,P309&gt;=$F$4,N309&lt;=$H$4),L309,"")</f>
        <v>9</v>
      </c>
    </row>
    <row r="310">
      <c r="L310" s="0">
        <v>10</v>
      </c>
      <c r="M310" s="3">
        <f>$C$14*M309/(L310+$C$14*M309)</f>
        <v>0.0001278396543235948</v>
      </c>
      <c r="N310" s="3">
        <f>$C$14/L310</f>
        <v>0.23333333333333334</v>
      </c>
      <c r="O310" s="3">
        <f>IF(L310&gt;$C$14,M310/(1-N310+N310*M310),1)</f>
        <v>0.00016674088769677093</v>
      </c>
      <c r="P310" s="3">
        <f>IF(L310&gt;$C$14,1-O310*EXP(-(L310-$C$14)*$D$4/$B$4),0)</f>
        <v>0.9999999999634523</v>
      </c>
      <c r="Q310" s="3">
        <f>IF(AND(L310&gt;$C$14,P310&gt;=$F$4,N310&lt;=$H$4),L310,"")</f>
        <v>10</v>
      </c>
    </row>
    <row r="311">
      <c r="L311" s="0">
        <v>11</v>
      </c>
      <c r="M311" s="3">
        <f>$C$14*M310/(L311+$C$14*M310)</f>
        <v>0.000027116767093280077</v>
      </c>
      <c r="N311" s="3">
        <f>$C$14/L311</f>
        <v>0.21212121212121213</v>
      </c>
      <c r="O311" s="3">
        <f>IF(L311&gt;$C$14,M311/(1-N311+N311*M311),1)</f>
        <v>0.00003441718388842023</v>
      </c>
      <c r="P311" s="3">
        <f>IF(L311&gt;$C$14,1-O311*EXP(-(L311-$C$14)*$D$4/$B$4),0)</f>
        <v>0.999999999998979</v>
      </c>
      <c r="Q311" s="3">
        <f>IF(AND(L311&gt;$C$14,P311&gt;=$F$4,N311&lt;=$H$4),L311,"")</f>
        <v>11</v>
      </c>
    </row>
    <row r="312">
      <c r="L312" s="0">
        <v>12</v>
      </c>
      <c r="M312" s="3">
        <f>$C$14*M311/(L312+$C$14*M311)</f>
        <v>0.000005272676911313839</v>
      </c>
      <c r="N312" s="3">
        <f>$C$14/L312</f>
        <v>0.19444444444444445</v>
      </c>
      <c r="O312" s="3">
        <f>IF(L312&gt;$C$14,M312/(1-N312+N312*M312),1)</f>
        <v>0.000006545383697429095</v>
      </c>
      <c r="P312" s="3">
        <f>IF(L312&gt;$C$14,1-O312*EXP(-(L312-$C$14)*$D$4/$B$4),0)</f>
        <v>0.9999999999999737</v>
      </c>
      <c r="Q312" s="3">
        <f>IF(AND(L312&gt;$C$14,P312&gt;=$F$4,N312&lt;=$H$4),L312,"")</f>
        <v>12</v>
      </c>
    </row>
    <row r="313">
      <c r="L313" s="0">
        <v>13</v>
      </c>
      <c r="M313" s="3">
        <f>$C$14*M312/(L313+$C$14*M312)</f>
        <v>9.463770115285986e-7</v>
      </c>
      <c r="N313" s="3">
        <f>$C$14/L313</f>
        <v>0.1794871794871795</v>
      </c>
      <c r="O313" s="3">
        <f>IF(L313&gt;$C$14,M313/(1-N313+N313*M313),1)</f>
        <v>0.0000011533967440243188</v>
      </c>
      <c r="P313" s="3">
        <f>IF(L313&gt;$C$14,1-O313*EXP(-(L313-$C$14)*$D$4/$B$4),0)</f>
        <v>0.9999999999999993</v>
      </c>
      <c r="Q313" s="3">
        <f>IF(AND(L313&gt;$C$14,P313&gt;=$F$4,N313&lt;=$H$4),L313,"")</f>
        <v>13</v>
      </c>
    </row>
    <row r="314">
      <c r="L314" s="0">
        <v>14</v>
      </c>
      <c r="M314" s="3">
        <f>$C$14*M313/(L314+$C$14*M313)</f>
        <v>1.5772947704284124e-7</v>
      </c>
      <c r="N314" s="3">
        <f>$C$14/L314</f>
        <v>0.16666666666666669</v>
      </c>
      <c r="O314" s="3">
        <f>IF(L314&gt;$C$14,M314/(1-N314+N314*M314),1)</f>
        <v>1.892753664805486e-7</v>
      </c>
      <c r="P314" s="3">
        <f>IF(L314&gt;$C$14,1-O314*EXP(-(L314-$C$14)*$D$4/$B$4),0)</f>
        <v>1</v>
      </c>
      <c r="Q314" s="3">
        <f>IF(AND(L314&gt;$C$14,P314&gt;=$F$4,N314&lt;=$H$4),L314,"")</f>
        <v>14</v>
      </c>
    </row>
    <row r="315">
      <c r="L315" s="0">
        <v>15</v>
      </c>
      <c r="M315" s="3">
        <f>$C$14*M314/(L315+$C$14*M314)</f>
        <v>2.4535695826886035e-8</v>
      </c>
      <c r="N315" s="3">
        <f>$C$14/L315</f>
        <v>0.15555555555555556</v>
      </c>
      <c r="O315" s="3">
        <f>IF(L315&gt;$C$14,M315/(1-N315+N315*M315),1)</f>
        <v>2.9055429137358038e-8</v>
      </c>
      <c r="P315" s="3">
        <f>IF(L315&gt;$C$14,1-O315*EXP(-(L315-$C$14)*$D$4/$B$4),0)</f>
        <v>1</v>
      </c>
      <c r="Q315" s="3">
        <f>IF(AND(L315&gt;$C$14,P315&gt;=$F$4,N315&lt;=$H$4),L315,"")</f>
        <v>15</v>
      </c>
    </row>
    <row r="316">
      <c r="L316" s="0">
        <v>16</v>
      </c>
      <c r="M316" s="3">
        <f>$C$14*M315/(L316+$C$14*M315)</f>
        <v>3.5781222952845882e-9</v>
      </c>
      <c r="N316" s="3">
        <f>$C$14/L316</f>
        <v>0.14583333333333334</v>
      </c>
      <c r="O316" s="3">
        <f>IF(L316&gt;$C$14,M316/(1-N316+N316*M316),1)</f>
        <v>4.189021221188742e-9</v>
      </c>
      <c r="P316" s="3">
        <f>IF(L316&gt;$C$14,1-O316*EXP(-(L316-$C$14)*$D$4/$B$4),0)</f>
        <v>1</v>
      </c>
      <c r="Q316" s="3">
        <f>IF(AND(L316&gt;$C$14,P316&gt;=$F$4,N316&lt;=$H$4),L316,"")</f>
        <v>16</v>
      </c>
    </row>
    <row r="317">
      <c r="L317" s="0">
        <v>17</v>
      </c>
      <c r="M317" s="3">
        <f>$C$14*M316/(L317+$C$14*M316)</f>
        <v>4.911148246017889e-10</v>
      </c>
      <c r="N317" s="3">
        <f>$C$14/L317</f>
        <v>0.13725490196078433</v>
      </c>
      <c r="O317" s="3">
        <f>IF(L317&gt;$C$14,M317/(1-N317+N317*M317),1)</f>
        <v>5.692467284712335e-10</v>
      </c>
      <c r="P317" s="3">
        <f>IF(L317&gt;$C$14,1-O317*EXP(-(L317-$C$14)*$D$4/$B$4),0)</f>
        <v>1</v>
      </c>
      <c r="Q317" s="3">
        <f>IF(AND(L317&gt;$C$14,P317&gt;=$F$4,N317&lt;=$H$4),L317,"")</f>
        <v>17</v>
      </c>
    </row>
    <row r="318">
      <c r="L318" s="0">
        <v>18</v>
      </c>
      <c r="M318" s="3">
        <f>$C$14*M317/(L318+$C$14*M317)</f>
        <v>6.366303281469744e-11</v>
      </c>
      <c r="N318" s="3">
        <f>$C$14/L318</f>
        <v>0.12962962962962965</v>
      </c>
      <c r="O318" s="3">
        <f>IF(L318&gt;$C$14,M318/(1-N318+N318*M318),1)</f>
        <v>7.314476110555459e-11</v>
      </c>
      <c r="P318" s="3">
        <f>IF(L318&gt;$C$14,1-O318*EXP(-(L318-$C$14)*$D$4/$B$4),0)</f>
        <v>1</v>
      </c>
      <c r="Q318" s="3">
        <f>IF(AND(L318&gt;$C$14,P318&gt;=$F$4,N318&lt;=$H$4),L318,"")</f>
        <v>18</v>
      </c>
    </row>
    <row r="319">
      <c r="L319" s="0">
        <v>19</v>
      </c>
      <c r="M319" s="3">
        <f>$C$14*M318/(L319+$C$14*M318)</f>
        <v>7.818267187708737e-12</v>
      </c>
      <c r="N319" s="3">
        <f>$C$14/L319</f>
        <v>0.12280701754385966</v>
      </c>
      <c r="O319" s="3">
        <f>IF(L319&gt;$C$14,M319/(1-N319+N319*M319),1)</f>
        <v>8.912824593978206e-12</v>
      </c>
      <c r="P319" s="3">
        <f>IF(L319&gt;$C$14,1-O319*EXP(-(L319-$C$14)*$D$4/$B$4),0)</f>
        <v>1</v>
      </c>
      <c r="Q319" s="3">
        <f>IF(AND(L319&gt;$C$14,P319&gt;=$F$4,N319&lt;=$H$4),L319,"")</f>
        <v>19</v>
      </c>
    </row>
    <row r="320">
      <c r="L320" s="0">
        <v>20</v>
      </c>
      <c r="M320" s="3">
        <f>$C$14*M319/(L320+$C$14*M319)</f>
        <v>9.121311718985208e-13</v>
      </c>
      <c r="N320" s="3">
        <f>$C$14/L320</f>
        <v>0.11666666666666667</v>
      </c>
      <c r="O320" s="3">
        <f>IF(L320&gt;$C$14,M320/(1-N320+N320*M320),1)</f>
        <v>1.0326013266774462e-12</v>
      </c>
      <c r="P320" s="3">
        <f>IF(L320&gt;$C$14,1-O320*EXP(-(L320-$C$14)*$D$4/$B$4),0)</f>
        <v>1</v>
      </c>
      <c r="Q320" s="3">
        <f>IF(AND(L320&gt;$C$14,P320&gt;=$F$4,N320&lt;=$H$4),L320,"")</f>
        <v>20</v>
      </c>
    </row>
    <row r="321">
      <c r="L321" s="0">
        <v>21</v>
      </c>
      <c r="M321" s="3">
        <f>$C$14*M320/(L321+$C$14*M320)</f>
        <v>1.0134790798871427e-13</v>
      </c>
      <c r="N321" s="3">
        <f>$C$14/L321</f>
        <v>0.11111111111111112</v>
      </c>
      <c r="O321" s="3">
        <f>IF(L321&gt;$C$14,M321/(1-N321+N321*M321),1)</f>
        <v>1.1401639648730212e-13</v>
      </c>
      <c r="P321" s="3">
        <f>IF(L321&gt;$C$14,1-O321*EXP(-(L321-$C$14)*$D$4/$B$4),0)</f>
        <v>1</v>
      </c>
      <c r="Q321" s="3">
        <f>IF(AND(L321&gt;$C$14,P321&gt;=$F$4,N321&lt;=$H$4),L321,"")</f>
        <v>21</v>
      </c>
    </row>
    <row r="322">
      <c r="L322" s="0">
        <v>22</v>
      </c>
      <c r="M322" s="3">
        <f>$C$14*M321/(L322+$C$14*M321)</f>
        <v>1.0749020544257458e-14</v>
      </c>
      <c r="N322" s="3">
        <f>$C$14/L322</f>
        <v>0.10606060606060606</v>
      </c>
      <c r="O322" s="3">
        <f>IF(L322&gt;$C$14,M322/(1-N322+N322*M322),1)</f>
        <v>1.202432806645748e-14</v>
      </c>
      <c r="P322" s="3">
        <f>IF(L322&gt;$C$14,1-O322*EXP(-(L322-$C$14)*$D$4/$B$4),0)</f>
        <v>1</v>
      </c>
      <c r="Q322" s="3">
        <f>IF(AND(L322&gt;$C$14,P322&gt;=$F$4,N322&lt;=$H$4),L322,"")</f>
        <v>22</v>
      </c>
    </row>
    <row r="323">
      <c r="L323" s="0">
        <v>23</v>
      </c>
      <c r="M323" s="3">
        <f>$C$14*M322/(L323+$C$14*M322)</f>
        <v>1.0904803450695961e-15</v>
      </c>
      <c r="N323" s="3">
        <f>$C$14/L323</f>
        <v>0.10144927536231885</v>
      </c>
      <c r="O323" s="3">
        <f>IF(L323&gt;$C$14,M323/(1-N323+N323*M323),1)</f>
        <v>1.2135990937064858e-15</v>
      </c>
      <c r="P323" s="3">
        <f>IF(L323&gt;$C$14,1-O323*EXP(-(L323-$C$14)*$D$4/$B$4),0)</f>
        <v>1</v>
      </c>
      <c r="Q323" s="3">
        <f>IF(AND(L323&gt;$C$14,P323&gt;=$F$4,N323&lt;=$H$4),L323,"")</f>
        <v>23</v>
      </c>
    </row>
    <row r="324">
      <c r="L324" s="0">
        <v>24</v>
      </c>
      <c r="M324" s="3">
        <f>$C$14*M323/(L324+$C$14*M323)</f>
        <v>1.0601892243732184e-16</v>
      </c>
      <c r="N324" s="3">
        <f>$C$14/L324</f>
        <v>0.09722222222222222</v>
      </c>
      <c r="O324" s="3">
        <f>IF(L324&gt;$C$14,M324/(1-N324+N324*M324),1)</f>
        <v>1.174363448536488e-16</v>
      </c>
      <c r="P324" s="3">
        <f>IF(L324&gt;$C$14,1-O324*EXP(-(L324-$C$14)*$D$4/$B$4),0)</f>
        <v>1</v>
      </c>
      <c r="Q324" s="3">
        <f>IF(AND(L324&gt;$C$14,P324&gt;=$F$4,N324&lt;=$H$4),L324,"")</f>
        <v>24</v>
      </c>
    </row>
    <row r="325">
      <c r="L325" s="0">
        <v>25</v>
      </c>
      <c r="M325" s="3">
        <f>$C$14*M324/(L325+$C$14*M324)</f>
        <v>9.895099427483371e-18</v>
      </c>
      <c r="N325" s="3">
        <f>$C$14/L325</f>
        <v>0.09333333333333334</v>
      </c>
      <c r="O325" s="3">
        <f>IF(L325&gt;$C$14,M325/(1-N325+N325*M325),1)</f>
        <v>1.0913712603841955e-17</v>
      </c>
      <c r="P325" s="3">
        <f>IF(L325&gt;$C$14,1-O325*EXP(-(L325-$C$14)*$D$4/$B$4),0)</f>
        <v>1</v>
      </c>
      <c r="Q325" s="3">
        <f>IF(AND(L325&gt;$C$14,P325&gt;=$F$4,N325&lt;=$H$4),L325,"")</f>
        <v>25</v>
      </c>
    </row>
    <row r="326">
      <c r="L326" s="0">
        <v>26</v>
      </c>
      <c r="M326" s="3">
        <f>$C$14*M325/(L326+$C$14*M325)</f>
        <v>8.880217434920974e-19</v>
      </c>
      <c r="N326" s="3">
        <f>$C$14/L326</f>
        <v>0.08974358974358974</v>
      </c>
      <c r="O326" s="3">
        <f>IF(L326&gt;$C$14,M326/(1-N326+N326*M326),1)</f>
        <v>9.755731829913184e-19</v>
      </c>
      <c r="P326" s="3">
        <f>IF(L326&gt;$C$14,1-O326*EXP(-(L326-$C$14)*$D$4/$B$4),0)</f>
        <v>1</v>
      </c>
      <c r="Q326" s="3">
        <f>IF(AND(L326&gt;$C$14,P326&gt;=$F$4,N326&lt;=$H$4),L326,"")</f>
        <v>26</v>
      </c>
    </row>
    <row r="327">
      <c r="L327" s="0">
        <v>27</v>
      </c>
      <c r="M327" s="3">
        <f>$C$14*M326/(L327+$C$14*M326)</f>
        <v>7.674261980795904e-20</v>
      </c>
      <c r="N327" s="3">
        <f>$C$14/L327</f>
        <v>0.08641975308641976</v>
      </c>
      <c r="O327" s="3">
        <f>IF(L327&gt;$C$14,M327/(1-N327+N327*M327),1)</f>
        <v>8.400205681682004e-20</v>
      </c>
      <c r="P327" s="3">
        <f>IF(L327&gt;$C$14,1-O327*EXP(-(L327-$C$14)*$D$4/$B$4),0)</f>
        <v>1</v>
      </c>
      <c r="Q327" s="3">
        <f>IF(AND(L327&gt;$C$14,P327&gt;=$F$4,N327&lt;=$H$4),L327,"")</f>
        <v>27</v>
      </c>
    </row>
    <row r="328">
      <c r="L328" s="0">
        <v>28</v>
      </c>
      <c r="M328" s="3">
        <f>$C$14*M327/(L328+$C$14*M327)</f>
        <v>6.39521831732992e-21</v>
      </c>
      <c r="N328" s="3">
        <f>$C$14/L328</f>
        <v>0.08333333333333334</v>
      </c>
      <c r="O328" s="3">
        <f>IF(L328&gt;$C$14,M328/(1-N328+N328*M328),1)</f>
        <v>6.976601800723549e-21</v>
      </c>
      <c r="P328" s="3">
        <f>IF(L328&gt;$C$14,1-O328*EXP(-(L328-$C$14)*$D$4/$B$4),0)</f>
        <v>1</v>
      </c>
      <c r="Q328" s="3">
        <f>IF(AND(L328&gt;$C$14,P328&gt;=$F$4,N328&lt;=$H$4),L328,"")</f>
        <v>28</v>
      </c>
    </row>
    <row r="329">
      <c r="L329" s="0">
        <v>29</v>
      </c>
      <c r="M329" s="3">
        <f>$C$14*M328/(L329+$C$14*M328)</f>
        <v>5.14557795647235e-22</v>
      </c>
      <c r="N329" s="3">
        <f>$C$14/L329</f>
        <v>0.08045977011494253</v>
      </c>
      <c r="O329" s="3">
        <f>IF(L329&gt;$C$14,M329/(1-N329+N329*M329),1)</f>
        <v>5.595816027663681e-22</v>
      </c>
      <c r="P329" s="3">
        <f>IF(L329&gt;$C$14,1-O329*EXP(-(L329-$C$14)*$D$4/$B$4),0)</f>
        <v>1</v>
      </c>
      <c r="Q329" s="3">
        <f>IF(AND(L329&gt;$C$14,P329&gt;=$F$4,N329&lt;=$H$4),L329,"")</f>
        <v>29</v>
      </c>
    </row>
    <row r="330">
      <c r="L330" s="0">
        <v>30</v>
      </c>
      <c r="M330" s="3">
        <f>$C$14*M329/(L330+$C$14*M329)</f>
        <v>4.002116188367384e-23</v>
      </c>
      <c r="N330" s="3">
        <f>$C$14/L330</f>
        <v>0.07777777777777778</v>
      </c>
      <c r="O330" s="3">
        <f>IF(L330&gt;$C$14,M330/(1-N330+N330*M330),1)</f>
        <v>4.3396440596754763e-23</v>
      </c>
      <c r="P330" s="3">
        <f>IF(L330&gt;$C$14,1-O330*EXP(-(L330-$C$14)*$D$4/$B$4),0)</f>
        <v>1</v>
      </c>
      <c r="Q330" s="3">
        <f>IF(AND(L330&gt;$C$14,P330&gt;=$F$4,N330&lt;=$H$4),L330,"")</f>
        <v>30</v>
      </c>
    </row>
    <row r="331">
      <c r="L331" s="0">
        <v>31</v>
      </c>
      <c r="M331" s="3">
        <f>$C$14*M330/(L331+$C$14*M330)</f>
        <v>3.0123455181259882e-24</v>
      </c>
      <c r="N331" s="3">
        <f>$C$14/L331</f>
        <v>0.07526881720430108</v>
      </c>
      <c r="O331" s="3">
        <f>IF(L331&gt;$C$14,M331/(1-N331+N331*M331),1)</f>
        <v>3.2575364323920572e-24</v>
      </c>
      <c r="P331" s="3">
        <f>IF(L331&gt;$C$14,1-O331*EXP(-(L331-$C$14)*$D$4/$B$4),0)</f>
        <v>1</v>
      </c>
      <c r="Q331" s="3">
        <f>IF(AND(L331&gt;$C$14,P331&gt;=$F$4,N331&lt;=$H$4),L331,"")</f>
        <v>31</v>
      </c>
    </row>
    <row r="332">
      <c r="L332" s="0">
        <v>32</v>
      </c>
      <c r="M332" s="3">
        <f>$C$14*M331/(L332+$C$14*M331)</f>
        <v>2.1965019403002e-25</v>
      </c>
      <c r="N332" s="3">
        <f>$C$14/L332</f>
        <v>0.07291666666666667</v>
      </c>
      <c r="O332" s="3">
        <f>IF(L332&gt;$C$14,M332/(1-N332+N332*M332),1)</f>
        <v>2.369260519874373e-25</v>
      </c>
      <c r="P332" s="3">
        <f>IF(L332&gt;$C$14,1-O332*EXP(-(L332-$C$14)*$D$4/$B$4),0)</f>
        <v>1</v>
      </c>
      <c r="Q332" s="3">
        <f>IF(AND(L332&gt;$C$14,P332&gt;=$F$4,N332&lt;=$H$4),L332,"")</f>
        <v>32</v>
      </c>
    </row>
    <row r="333">
      <c r="L333" s="0">
        <v>33</v>
      </c>
      <c r="M333" s="3">
        <f>$C$14*M332/(L333+$C$14*M332)</f>
        <v>1.5530821800102427e-26</v>
      </c>
      <c r="N333" s="3">
        <f>$C$14/L333</f>
        <v>0.07070707070707072</v>
      </c>
      <c r="O333" s="3">
        <f>IF(L333&gt;$C$14,M333/(1-N333+N333*M333),1)</f>
        <v>1.67125147631537e-26</v>
      </c>
      <c r="P333" s="3">
        <f>IF(L333&gt;$C$14,1-O333*EXP(-(L333-$C$14)*$D$4/$B$4),0)</f>
        <v>1</v>
      </c>
      <c r="Q333" s="3">
        <f>IF(AND(L333&gt;$C$14,P333&gt;=$F$4,N333&lt;=$H$4),L333,"")</f>
        <v>33</v>
      </c>
    </row>
    <row r="334">
      <c r="L334" s="0">
        <v>34</v>
      </c>
      <c r="M334" s="3">
        <f>$C$14*M333/(L334+$C$14*M333)</f>
        <v>1.0658407117717353e-27</v>
      </c>
      <c r="N334" s="3">
        <f>$C$14/L334</f>
        <v>0.06862745098039216</v>
      </c>
      <c r="O334" s="3">
        <f>IF(L334&gt;$C$14,M334/(1-N334+N334*M334),1)</f>
        <v>1.144376343165442e-27</v>
      </c>
      <c r="P334" s="3">
        <f>IF(L334&gt;$C$14,1-O334*EXP(-(L334-$C$14)*$D$4/$B$4),0)</f>
        <v>1</v>
      </c>
      <c r="Q334" s="3">
        <f>IF(AND(L334&gt;$C$14,P334&gt;=$F$4,N334&lt;=$H$4),L334,"")</f>
        <v>34</v>
      </c>
    </row>
    <row r="335">
      <c r="L335" s="0">
        <v>35</v>
      </c>
      <c r="M335" s="3">
        <f>$C$14*M334/(L335+$C$14*M334)</f>
        <v>7.105604745144903e-29</v>
      </c>
      <c r="N335" s="3">
        <f>$C$14/L335</f>
        <v>0.06666666666666667</v>
      </c>
      <c r="O335" s="3">
        <f>IF(L335&gt;$C$14,M335/(1-N335+N335*M335),1)</f>
        <v>7.613147941226681e-29</v>
      </c>
      <c r="P335" s="3">
        <f>IF(L335&gt;$C$14,1-O335*EXP(-(L335-$C$14)*$D$4/$B$4),0)</f>
        <v>1</v>
      </c>
      <c r="Q335" s="3">
        <f>IF(AND(L335&gt;$C$14,P335&gt;=$F$4,N335&lt;=$H$4),L335,"")</f>
        <v>35</v>
      </c>
    </row>
    <row r="336">
      <c r="L336" s="0">
        <v>36</v>
      </c>
      <c r="M336" s="3">
        <f>$C$14*M335/(L336+$C$14*M335)</f>
        <v>4.605484557038363e-30</v>
      </c>
      <c r="N336" s="3">
        <f>$C$14/L336</f>
        <v>0.06481481481481483</v>
      </c>
      <c r="O336" s="3">
        <f>IF(L336&gt;$C$14,M336/(1-N336+N336*M336),1)</f>
        <v>4.924676556041022e-30</v>
      </c>
      <c r="P336" s="3">
        <f>IF(L336&gt;$C$14,1-O336*EXP(-(L336-$C$14)*$D$4/$B$4),0)</f>
        <v>1</v>
      </c>
      <c r="Q336" s="3">
        <f>IF(AND(L336&gt;$C$14,P336&gt;=$F$4,N336&lt;=$H$4),L336,"")</f>
        <v>36</v>
      </c>
    </row>
    <row r="337">
      <c r="L337" s="0">
        <v>37</v>
      </c>
      <c r="M337" s="3">
        <f>$C$14*M336/(L337+$C$14*M336)</f>
        <v>2.9043596305647336e-31</v>
      </c>
      <c r="N337" s="3">
        <f>$C$14/L337</f>
        <v>0.06306306306306307</v>
      </c>
      <c r="O337" s="3">
        <f>IF(L337&gt;$C$14,M337/(1-N337+N337*M337),1)</f>
        <v>3.0998453749296677e-31</v>
      </c>
      <c r="P337" s="3">
        <f>IF(L337&gt;$C$14,1-O337*EXP(-(L337-$C$14)*$D$4/$B$4),0)</f>
        <v>1</v>
      </c>
      <c r="Q337" s="3">
        <f>IF(AND(L337&gt;$C$14,P337&gt;=$F$4,N337&lt;=$H$4),L337,"")</f>
        <v>37</v>
      </c>
    </row>
    <row r="338">
      <c r="L338" s="0">
        <v>38</v>
      </c>
      <c r="M338" s="3">
        <f>$C$14*M337/(L338+$C$14*M337)</f>
        <v>1.783378720522205e-32</v>
      </c>
      <c r="N338" s="3">
        <f>$C$14/L338</f>
        <v>0.06140350877192983</v>
      </c>
      <c r="O338" s="3">
        <f>IF(L338&gt;$C$14,M338/(1-N338+N338*M338),1)</f>
        <v>1.9000483564442182e-32</v>
      </c>
      <c r="P338" s="3">
        <f>IF(L338&gt;$C$14,1-O338*EXP(-(L338-$C$14)*$D$4/$B$4),0)</f>
        <v>1</v>
      </c>
      <c r="Q338" s="3">
        <f>IF(AND(L338&gt;$C$14,P338&gt;=$F$4,N338&lt;=$H$4),L338,"")</f>
        <v>38</v>
      </c>
    </row>
    <row r="339">
      <c r="L339" s="0">
        <v>39</v>
      </c>
      <c r="M339" s="3">
        <f>$C$14*M338/(L339+$C$14*M338)</f>
        <v>1.0669787216799518e-33</v>
      </c>
      <c r="N339" s="3">
        <f>$C$14/L339</f>
        <v>0.05982905982905983</v>
      </c>
      <c r="O339" s="3">
        <f>IF(L339&gt;$C$14,M339/(1-N339+N339*M339),1)</f>
        <v>1.1348773676050397e-33</v>
      </c>
      <c r="P339" s="3">
        <f>IF(L339&gt;$C$14,1-O339*EXP(-(L339-$C$14)*$D$4/$B$4),0)</f>
        <v>1</v>
      </c>
      <c r="Q339" s="3">
        <f>IF(AND(L339&gt;$C$14,P339&gt;=$F$4,N339&lt;=$H$4),L339,"")</f>
        <v>39</v>
      </c>
    </row>
    <row r="340">
      <c r="L340" s="0">
        <v>40</v>
      </c>
      <c r="M340" s="3">
        <f>$C$14*M339/(L340+$C$14*M339)</f>
        <v>6.224042543133052e-35</v>
      </c>
      <c r="N340" s="3">
        <f>$C$14/L340</f>
        <v>0.058333333333333334</v>
      </c>
      <c r="O340" s="3">
        <f>IF(L340&gt;$C$14,M340/(1-N340+N340*M340),1)</f>
        <v>6.609602700672268e-35</v>
      </c>
      <c r="P340" s="3">
        <f>IF(L340&gt;$C$14,1-O340*EXP(-(L340-$C$14)*$D$4/$B$4),0)</f>
        <v>1</v>
      </c>
      <c r="Q340" s="3">
        <f>IF(AND(L340&gt;$C$14,P340&gt;=$F$4,N340&lt;=$H$4),L340,"")</f>
        <v>40</v>
      </c>
    </row>
    <row r="342">
      <c r="L342" s="1" t="inlineStr">
        <is>
          <t xml:space="preserve">c</t>
        </is>
      </c>
      <c r="M342" s="1" t="inlineStr">
        <is>
          <t xml:space="preserve">Erlang B</t>
        </is>
      </c>
      <c r="N342" s="1" t="inlineStr">
        <is>
          <t xml:space="preserve">ρ</t>
        </is>
      </c>
      <c r="O342" s="1" t="inlineStr">
        <is>
          <t xml:space="preserve">P espera</t>
        </is>
      </c>
      <c r="P342" s="1" t="inlineStr">
        <is>
          <t xml:space="preserve">SL</t>
        </is>
      </c>
      <c r="Q342" s="1" t="inlineStr">
        <is>
          <t xml:space="preserve">c factible</t>
        </is>
      </c>
    </row>
    <row r="343">
      <c r="L343" s="0">
        <v>1</v>
      </c>
      <c r="M343" s="3">
        <f>$C$15/(1+$C$15)</f>
        <v>0.6470588235294118</v>
      </c>
      <c r="N343" s="3">
        <f>$C$15/L343</f>
        <v>1.8333333333333333</v>
      </c>
      <c r="O343" s="3">
        <f>IF(L343&gt;$C$15,M343/(1-N343+N343*M343),1)</f>
        <v>1</v>
      </c>
      <c r="P343" s="3">
        <f>IF(L343&gt;$C$15,1-O343*EXP(-(L343-$C$15)*$D$4/$B$4),0)</f>
        <v>0</v>
      </c>
      <c r="Q343" s="3" t="str">
        <f>IF(AND(L343&gt;$C$15,P343&gt;=$F$4,N343&lt;=$H$4),L343,"")</f>
        <v/>
      </c>
    </row>
    <row r="344">
      <c r="L344" s="0">
        <v>2</v>
      </c>
      <c r="M344" s="3">
        <f>$C$15*M343/(L344+$C$15*M343)</f>
        <v>0.3723076923076923</v>
      </c>
      <c r="N344" s="3">
        <f>$C$15/L344</f>
        <v>0.9166666666666666</v>
      </c>
      <c r="O344" s="3">
        <f>IF(L344&gt;$C$15,M344/(1-N344+N344*M344),1)</f>
        <v>0.8768115942028984</v>
      </c>
      <c r="P344" s="3">
        <f>IF(L344&gt;$C$15,1-O344*EXP(-(L344-$C$15)*$D$4/$B$4),0)</f>
        <v>0.37173703927950374</v>
      </c>
      <c r="Q344" s="3" t="str">
        <f>IF(AND(L344&gt;$C$15,P344&gt;=$F$4,N344&lt;=$H$4),L344,"")</f>
        <v/>
      </c>
    </row>
    <row r="345">
      <c r="L345" s="0">
        <v>3</v>
      </c>
      <c r="M345" s="3">
        <f>$C$15*M344/(L345+$C$15*M344)</f>
        <v>0.1853502297730121</v>
      </c>
      <c r="N345" s="3">
        <f>$C$15/L345</f>
        <v>0.611111111111111</v>
      </c>
      <c r="O345" s="3">
        <f>IF(L345&gt;$C$15,M345/(1-N345+N345*M345),1)</f>
        <v>0.3691070438158624</v>
      </c>
      <c r="P345" s="3">
        <f>IF(L345&gt;$C$15,1-O345*EXP(-(L345-$C$15)*$D$4/$B$4),0)</f>
        <v>0.9642069636085626</v>
      </c>
      <c r="Q345" s="3">
        <f>IF(AND(L345&gt;$C$15,P345&gt;=$F$4,N345&lt;=$H$4),L345,"")</f>
        <v>3</v>
      </c>
    </row>
    <row r="346">
      <c r="L346" s="0">
        <v>4</v>
      </c>
      <c r="M346" s="3">
        <f>$C$15*M345/(L346+$C$15*M345)</f>
        <v>0.07830039842768136</v>
      </c>
      <c r="N346" s="3">
        <f>$C$15/L346</f>
        <v>0.4583333333333333</v>
      </c>
      <c r="O346" s="3">
        <f>IF(L346&gt;$C$15,M346/(1-N346+N346*M346),1)</f>
        <v>0.13557234661184878</v>
      </c>
      <c r="P346" s="3">
        <f>IF(L346&gt;$C$15,1-O346*EXP(-(L346-$C$15)*$D$4/$B$4),0)</f>
        <v>0.9982207852988355</v>
      </c>
      <c r="Q346" s="3">
        <f>IF(AND(L346&gt;$C$15,P346&gt;=$F$4,N346&lt;=$H$4),L346,"")</f>
        <v>4</v>
      </c>
    </row>
    <row r="347">
      <c r="L347" s="0">
        <v>5</v>
      </c>
      <c r="M347" s="3">
        <f>$C$15*M346/(L347+$C$15*M346)</f>
        <v>0.027908878122053487</v>
      </c>
      <c r="N347" s="3">
        <f>$C$15/L347</f>
        <v>0.36666666666666664</v>
      </c>
      <c r="O347" s="3">
        <f>IF(L347&gt;$C$15,M347/(1-N347+N347*M347),1)</f>
        <v>0.043365952512893914</v>
      </c>
      <c r="P347" s="3">
        <f>IF(L347&gt;$C$15,1-O347*EXP(-(L347-$C$15)*$D$4/$B$4),0)</f>
        <v>0.9999229775779777</v>
      </c>
      <c r="Q347" s="3">
        <f>IF(AND(L347&gt;$C$15,P347&gt;=$F$4,N347&lt;=$H$4),L347,"")</f>
        <v>5</v>
      </c>
    </row>
    <row r="348">
      <c r="L348" s="0">
        <v>6</v>
      </c>
      <c r="M348" s="3">
        <f>$C$15*M347/(L348+$C$15*M347)</f>
        <v>0.008455605782198053</v>
      </c>
      <c r="N348" s="3">
        <f>$C$15/L348</f>
        <v>0.3055555555555555</v>
      </c>
      <c r="O348" s="3">
        <f>IF(L348&gt;$C$15,M348/(1-N348+N348*M348),1)</f>
        <v>0.012130939571539968</v>
      </c>
      <c r="P348" s="3">
        <f>IF(L348&gt;$C$15,1-O348*EXP(-(L348-$C$15)*$D$4/$B$4),0)</f>
        <v>0.9999970840924067</v>
      </c>
      <c r="Q348" s="3">
        <f>IF(AND(L348&gt;$C$15,P348&gt;=$F$4,N348&lt;=$H$4),L348,"")</f>
        <v>6</v>
      </c>
    </row>
    <row r="349">
      <c r="L349" s="0">
        <v>7</v>
      </c>
      <c r="M349" s="3">
        <f>$C$15*M348/(L349+$C$15*M348)</f>
        <v>0.0022096699648745098</v>
      </c>
      <c r="N349" s="3">
        <f>$C$15/L349</f>
        <v>0.2619047619047619</v>
      </c>
      <c r="O349" s="3">
        <f>IF(L349&gt;$C$15,M349/(1-N349+N349*M349),1)</f>
        <v>0.002991400917044426</v>
      </c>
      <c r="P349" s="3">
        <f>IF(L349&gt;$C$15,1-O349*EXP(-(L349-$C$15)*$D$4/$B$4),0)</f>
        <v>0.9999999026883187</v>
      </c>
      <c r="Q349" s="3">
        <f>IF(AND(L349&gt;$C$15,P349&gt;=$F$4,N349&lt;=$H$4),L349,"")</f>
        <v>7</v>
      </c>
    </row>
    <row r="350">
      <c r="L350" s="0">
        <v>8</v>
      </c>
      <c r="M350" s="3">
        <f>$C$15*M349/(L350+$C$15*M349)</f>
        <v>0.0005061264066272689</v>
      </c>
      <c r="N350" s="3">
        <f>$C$15/L350</f>
        <v>0.22916666666666666</v>
      </c>
      <c r="O350" s="3">
        <f>IF(L350&gt;$C$15,M350/(1-N350+N350*M350),1)</f>
        <v>0.000656497636200639</v>
      </c>
      <c r="P350" s="3">
        <f>IF(L350&gt;$C$15,1-O350*EXP(-(L350-$C$15)*$D$4/$B$4),0)</f>
        <v>0.9999999971097557</v>
      </c>
      <c r="Q350" s="3">
        <f>IF(AND(L350&gt;$C$15,P350&gt;=$F$4,N350&lt;=$H$4),L350,"")</f>
        <v>8</v>
      </c>
    </row>
    <row r="351">
      <c r="L351" s="0">
        <v>9</v>
      </c>
      <c r="M351" s="3">
        <f>$C$15*M350/(L351+$C$15*M350)</f>
        <v>0.000103089195094395</v>
      </c>
      <c r="N351" s="3">
        <f>$C$15/L351</f>
        <v>0.2037037037037037</v>
      </c>
      <c r="O351" s="3">
        <f>IF(L351&gt;$C$15,M351/(1-N351+N351*M351),1)</f>
        <v>0.0001294574356466533</v>
      </c>
      <c r="P351" s="3">
        <f>IF(L351&gt;$C$15,1-O351*EXP(-(L351-$C$15)*$D$4/$B$4),0)</f>
        <v>0.9999999999228671</v>
      </c>
      <c r="Q351" s="3">
        <f>IF(AND(L351&gt;$C$15,P351&gt;=$F$4,N351&lt;=$H$4),L351,"")</f>
        <v>9</v>
      </c>
    </row>
    <row r="352">
      <c r="L352" s="0">
        <v>10</v>
      </c>
      <c r="M352" s="3">
        <f>$C$15*M351/(L352+$C$15*M351)</f>
        <v>0.000018899328575934452</v>
      </c>
      <c r="N352" s="3">
        <f>$C$15/L352</f>
        <v>0.18333333333333332</v>
      </c>
      <c r="O352" s="3">
        <f>IF(L352&gt;$C$15,M352/(1-N352+N352*M352),1)</f>
        <v>0.0000231419368064964</v>
      </c>
      <c r="P352" s="3">
        <f>IF(L352&gt;$C$15,1-O352*EXP(-(L352-$C$15)*$D$4/$B$4),0)</f>
        <v>0.9999999999981339</v>
      </c>
      <c r="Q352" s="3">
        <f>IF(AND(L352&gt;$C$15,P352&gt;=$F$4,N352&lt;=$H$4),L352,"")</f>
        <v>10</v>
      </c>
    </row>
    <row r="353">
      <c r="L353" s="0">
        <v>11</v>
      </c>
      <c r="M353" s="3">
        <f>$C$15*M352/(L353+$C$15*M352)</f>
        <v>0.0000031498781742253107</v>
      </c>
      <c r="N353" s="3">
        <f>$C$15/L353</f>
        <v>0.16666666666666666</v>
      </c>
      <c r="O353" s="3">
        <f>IF(L353&gt;$C$15,M353/(1-N353+N353*M353),1)</f>
        <v>0.0000037798514278560696</v>
      </c>
      <c r="P353" s="3">
        <f>IF(L353&gt;$C$15,1-O353*EXP(-(L353-$C$15)*$D$4/$B$4),0)</f>
        <v>0.9999999999999587</v>
      </c>
      <c r="Q353" s="3">
        <f>IF(AND(L353&gt;$C$15,P353&gt;=$F$4,N353&lt;=$H$4),L353,"")</f>
        <v>11</v>
      </c>
    </row>
    <row r="354">
      <c r="L354" s="0">
        <v>12</v>
      </c>
      <c r="M354" s="3">
        <f>$C$15*M353/(L354+$C$15*M353)</f>
        <v>4.812311561453298e-7</v>
      </c>
      <c r="N354" s="3">
        <f>$C$15/L354</f>
        <v>0.15277777777777776</v>
      </c>
      <c r="O354" s="3">
        <f>IF(L354&gt;$C$15,M354/(1-N354+N354*M354),1)</f>
        <v>5.680104956668184e-7</v>
      </c>
      <c r="P354" s="3">
        <f>IF(L354&gt;$C$15,1-O354*EXP(-(L354-$C$15)*$D$4/$B$4),0)</f>
        <v>0.9999999999999991</v>
      </c>
      <c r="Q354" s="3">
        <f>IF(AND(L354&gt;$C$15,P354&gt;=$F$4,N354&lt;=$H$4),L354,"")</f>
        <v>12</v>
      </c>
    </row>
    <row r="355">
      <c r="L355" s="0">
        <v>13</v>
      </c>
      <c r="M355" s="3">
        <f>$C$15*M354/(L355+$C$15*M354)</f>
        <v>6.786592767112103e-8</v>
      </c>
      <c r="N355" s="3">
        <f>$C$15/L355</f>
        <v>0.14102564102564102</v>
      </c>
      <c r="O355" s="3">
        <f>IF(L355&gt;$C$15,M355/(1-N355+N355*M355),1)</f>
        <v>7.900809402038667e-8</v>
      </c>
      <c r="P355" s="3">
        <f>IF(L355&gt;$C$15,1-O355*EXP(-(L355-$C$15)*$D$4/$B$4),0)</f>
        <v>1</v>
      </c>
      <c r="Q355" s="3">
        <f>IF(AND(L355&gt;$C$15,P355&gt;=$F$4,N355&lt;=$H$4),L355,"")</f>
        <v>13</v>
      </c>
    </row>
    <row r="356">
      <c r="L356" s="0">
        <v>14</v>
      </c>
      <c r="M356" s="3">
        <f>$C$15*M355/(L356+$C$15*M355)</f>
        <v>8.887204735092963e-9</v>
      </c>
      <c r="N356" s="3">
        <f>$C$15/L356</f>
        <v>0.13095238095238096</v>
      </c>
      <c r="O356" s="3">
        <f>IF(L356&gt;$C$15,M356/(1-N356+N356*M356),1)</f>
        <v>1.0226372558192965e-8</v>
      </c>
      <c r="P356" s="3">
        <f>IF(L356&gt;$C$15,1-O356*EXP(-(L356-$C$15)*$D$4/$B$4),0)</f>
        <v>1</v>
      </c>
      <c r="Q356" s="3">
        <f>IF(AND(L356&gt;$C$15,P356&gt;=$F$4,N356&lt;=$H$4),L356,"")</f>
        <v>14</v>
      </c>
    </row>
    <row r="357">
      <c r="L357" s="0">
        <v>15</v>
      </c>
      <c r="M357" s="3">
        <f>$C$15*M356/(L357+$C$15*M356)</f>
        <v>1.086213910887057e-9</v>
      </c>
      <c r="N357" s="3">
        <f>$C$15/L357</f>
        <v>0.12222222222222222</v>
      </c>
      <c r="O357" s="3">
        <f>IF(L357&gt;$C$15,M357/(1-N357+N357*M357),1)</f>
        <v>1.2374588856335385e-9</v>
      </c>
      <c r="P357" s="3">
        <f>IF(L357&gt;$C$15,1-O357*EXP(-(L357-$C$15)*$D$4/$B$4),0)</f>
        <v>1</v>
      </c>
      <c r="Q357" s="3">
        <f>IF(AND(L357&gt;$C$15,P357&gt;=$F$4,N357&lt;=$H$4),L357,"")</f>
        <v>15</v>
      </c>
    </row>
    <row r="358">
      <c r="L358" s="0">
        <v>16</v>
      </c>
      <c r="M358" s="3">
        <f>$C$15*M357/(L358+$C$15*M357)</f>
        <v>1.244620106069845e-10</v>
      </c>
      <c r="N358" s="3">
        <f>$C$15/L358</f>
        <v>0.11458333333333333</v>
      </c>
      <c r="O358" s="3">
        <f>IF(L358&gt;$C$15,M358/(1-N358+N358*M358),1)</f>
        <v>1.405688590362125e-10</v>
      </c>
      <c r="P358" s="3">
        <f>IF(L358&gt;$C$15,1-O358*EXP(-(L358-$C$15)*$D$4/$B$4),0)</f>
        <v>1</v>
      </c>
      <c r="Q358" s="3">
        <f>IF(AND(L358&gt;$C$15,P358&gt;=$F$4,N358&lt;=$H$4),L358,"")</f>
        <v>16</v>
      </c>
    </row>
    <row r="359">
      <c r="L359" s="0">
        <v>17</v>
      </c>
      <c r="M359" s="3">
        <f>$C$15*M358/(L359+$C$15*M358)</f>
        <v>1.3422373692729933e-11</v>
      </c>
      <c r="N359" s="3">
        <f>$C$15/L359</f>
        <v>0.10784313725490195</v>
      </c>
      <c r="O359" s="3">
        <f>IF(L359&gt;$C$15,M359/(1-N359+N359*M359),1)</f>
        <v>1.5044858424793757e-11</v>
      </c>
      <c r="P359" s="3">
        <f>IF(L359&gt;$C$15,1-O359*EXP(-(L359-$C$15)*$D$4/$B$4),0)</f>
        <v>1</v>
      </c>
      <c r="Q359" s="3">
        <f>IF(AND(L359&gt;$C$15,P359&gt;=$F$4,N359&lt;=$H$4),L359,"")</f>
        <v>17</v>
      </c>
    </row>
    <row r="360">
      <c r="L360" s="0">
        <v>18</v>
      </c>
      <c r="M360" s="3">
        <f>$C$15*M359/(L360+$C$15*M359)</f>
        <v>1.367093616850254e-12</v>
      </c>
      <c r="N360" s="3">
        <f>$C$15/L360</f>
        <v>0.10185185185185185</v>
      </c>
      <c r="O360" s="3">
        <f>IF(L360&gt;$C$15,M360/(1-N360+N360*M360),1)</f>
        <v>1.5221248517505623e-12</v>
      </c>
      <c r="P360" s="3">
        <f>IF(L360&gt;$C$15,1-O360*EXP(-(L360-$C$15)*$D$4/$B$4),0)</f>
        <v>1</v>
      </c>
      <c r="Q360" s="3">
        <f>IF(AND(L360&gt;$C$15,P360&gt;=$F$4,N360&lt;=$H$4),L360,"")</f>
        <v>18</v>
      </c>
    </row>
    <row r="361">
      <c r="L361" s="0">
        <v>19</v>
      </c>
      <c r="M361" s="3">
        <f>$C$15*M360/(L361+$C$15*M360)</f>
        <v>1.319125419767615e-13</v>
      </c>
      <c r="N361" s="3">
        <f>$C$15/L361</f>
        <v>0.09649122807017543</v>
      </c>
      <c r="O361" s="3">
        <f>IF(L361&gt;$C$15,M361/(1-N361+N361*M361),1)</f>
        <v>1.4600028917816114e-13</v>
      </c>
      <c r="P361" s="3">
        <f>IF(L361&gt;$C$15,1-O361*EXP(-(L361-$C$15)*$D$4/$B$4),0)</f>
        <v>1</v>
      </c>
      <c r="Q361" s="3">
        <f>IF(AND(L361&gt;$C$15,P361&gt;=$F$4,N361&lt;=$H$4),L361,"")</f>
        <v>19</v>
      </c>
    </row>
    <row r="362">
      <c r="L362" s="0">
        <v>20</v>
      </c>
      <c r="M362" s="3">
        <f>$C$15*M361/(L362+$C$15*M361)</f>
        <v>1.2091983014536324e-14</v>
      </c>
      <c r="N362" s="3">
        <f>$C$15/L362</f>
        <v>0.09166666666666666</v>
      </c>
      <c r="O362" s="3">
        <f>IF(L362&gt;$C$15,M362/(1-N362+N362*M362),1)</f>
        <v>1.3312274878388598e-14</v>
      </c>
      <c r="P362" s="3">
        <f>IF(L362&gt;$C$15,1-O362*EXP(-(L362-$C$15)*$D$4/$B$4),0)</f>
        <v>1</v>
      </c>
      <c r="Q362" s="3">
        <f>IF(AND(L362&gt;$C$15,P362&gt;=$F$4,N362&lt;=$H$4),L362,"")</f>
        <v>20</v>
      </c>
    </row>
    <row r="363">
      <c r="L363" s="0">
        <v>21</v>
      </c>
      <c r="M363" s="3">
        <f>$C$15*M362/(L363+$C$15*M362)</f>
        <v>1.0556493107928526e-15</v>
      </c>
      <c r="N363" s="3">
        <f>$C$15/L363</f>
        <v>0.0873015873015873</v>
      </c>
      <c r="O363" s="3">
        <f>IF(L363&gt;$C$15,M363/(1-N363+N363*M363),1)</f>
        <v>1.1566244622599948e-15</v>
      </c>
      <c r="P363" s="3">
        <f>IF(L363&gt;$C$15,1-O363*EXP(-(L363-$C$15)*$D$4/$B$4),0)</f>
        <v>1</v>
      </c>
      <c r="Q363" s="3">
        <f>IF(AND(L363&gt;$C$15,P363&gt;=$F$4,N363&lt;=$H$4),L363,"")</f>
        <v>21</v>
      </c>
    </row>
    <row r="364">
      <c r="L364" s="0">
        <v>22</v>
      </c>
      <c r="M364" s="3">
        <f>$C$15*M363/(L364+$C$15*M363)</f>
        <v>8.797077589940436e-17</v>
      </c>
      <c r="N364" s="3">
        <f>$C$15/L364</f>
        <v>0.08333333333333333</v>
      </c>
      <c r="O364" s="3">
        <f>IF(L364&gt;$C$15,M364/(1-N364+N364*M364),1)</f>
        <v>9.596811916298658e-17</v>
      </c>
      <c r="P364" s="3">
        <f>IF(L364&gt;$C$15,1-O364*EXP(-(L364-$C$15)*$D$4/$B$4),0)</f>
        <v>1</v>
      </c>
      <c r="Q364" s="3">
        <f>IF(AND(L364&gt;$C$15,P364&gt;=$F$4,N364&lt;=$H$4),L364,"")</f>
        <v>22</v>
      </c>
    </row>
    <row r="365">
      <c r="L365" s="0">
        <v>23</v>
      </c>
      <c r="M365" s="3">
        <f>$C$15*M364/(L365+$C$15*M364)</f>
        <v>7.012163296329333e-18</v>
      </c>
      <c r="N365" s="3">
        <f>$C$15/L365</f>
        <v>0.07971014492753623</v>
      </c>
      <c r="O365" s="3">
        <f>IF(L365&gt;$C$15,M365/(1-N365+N365*M365),1)</f>
        <v>7.619516022783055e-18</v>
      </c>
      <c r="P365" s="3">
        <f>IF(L365&gt;$C$15,1-O365*EXP(-(L365-$C$15)*$D$4/$B$4),0)</f>
        <v>1</v>
      </c>
      <c r="Q365" s="3">
        <f>IF(AND(L365&gt;$C$15,P365&gt;=$F$4,N365&lt;=$H$4),L365,"")</f>
        <v>23</v>
      </c>
    </row>
    <row r="366">
      <c r="L366" s="0">
        <v>24</v>
      </c>
      <c r="M366" s="3">
        <f>$C$15*M365/(L366+$C$15*M365)</f>
        <v>5.356513629140462e-19</v>
      </c>
      <c r="N366" s="3">
        <f>$C$15/L366</f>
        <v>0.07638888888888888</v>
      </c>
      <c r="O366" s="3">
        <f>IF(L366&gt;$C$15,M366/(1-N366+N366*M366),1)</f>
        <v>5.799533553355086e-19</v>
      </c>
      <c r="P366" s="3">
        <f>IF(L366&gt;$C$15,1-O366*EXP(-(L366-$C$15)*$D$4/$B$4),0)</f>
        <v>1</v>
      </c>
      <c r="Q366" s="3">
        <f>IF(AND(L366&gt;$C$15,P366&gt;=$F$4,N366&lt;=$H$4),L366,"")</f>
        <v>24</v>
      </c>
    </row>
    <row r="367">
      <c r="L367" s="0">
        <v>25</v>
      </c>
      <c r="M367" s="3">
        <f>$C$15*M366/(L367+$C$15*M366)</f>
        <v>3.928109994703005e-20</v>
      </c>
      <c r="N367" s="3">
        <f>$C$15/L367</f>
        <v>0.07333333333333333</v>
      </c>
      <c r="O367" s="3">
        <f>IF(L367&gt;$C$15,M367/(1-N367+N367*M367),1)</f>
        <v>4.238967620183099e-20</v>
      </c>
      <c r="P367" s="3">
        <f>IF(L367&gt;$C$15,1-O367*EXP(-(L367-$C$15)*$D$4/$B$4),0)</f>
        <v>1</v>
      </c>
      <c r="Q367" s="3">
        <f>IF(AND(L367&gt;$C$15,P367&gt;=$F$4,N367&lt;=$H$4),L367,"")</f>
        <v>25</v>
      </c>
    </row>
    <row r="368">
      <c r="L368" s="0">
        <v>26</v>
      </c>
      <c r="M368" s="3">
        <f>$C$15*M367/(L368+$C$15*M367)</f>
        <v>2.7698211501110936e-21</v>
      </c>
      <c r="N368" s="3">
        <f>$C$15/L368</f>
        <v>0.07051282051282051</v>
      </c>
      <c r="O368" s="3">
        <f>IF(L368&gt;$C$15,M368/(1-N368+N368*M368),1)</f>
        <v>2.9799455132229697e-21</v>
      </c>
      <c r="P368" s="3">
        <f>IF(L368&gt;$C$15,1-O368*EXP(-(L368-$C$15)*$D$4/$B$4),0)</f>
        <v>1</v>
      </c>
      <c r="Q368" s="3">
        <f>IF(AND(L368&gt;$C$15,P368&gt;=$F$4,N368&lt;=$H$4),L368,"")</f>
        <v>26</v>
      </c>
    </row>
    <row r="369">
      <c r="L369" s="0">
        <v>27</v>
      </c>
      <c r="M369" s="3">
        <f>$C$15*M368/(L369+$C$15*M368)</f>
        <v>1.880742756248273e-22</v>
      </c>
      <c r="N369" s="3">
        <f>$C$15/L369</f>
        <v>0.06790123456790123</v>
      </c>
      <c r="O369" s="3">
        <f>IF(L369&gt;$C$15,M369/(1-N369+N369*M369),1)</f>
        <v>2.0177505067034453e-22</v>
      </c>
      <c r="P369" s="3">
        <f>IF(L369&gt;$C$15,1-O369*EXP(-(L369-$C$15)*$D$4/$B$4),0)</f>
        <v>1</v>
      </c>
      <c r="Q369" s="3">
        <f>IF(AND(L369&gt;$C$15,P369&gt;=$F$4,N369&lt;=$H$4),L369,"")</f>
        <v>27</v>
      </c>
    </row>
    <row r="370">
      <c r="L370" s="0">
        <v>28</v>
      </c>
      <c r="M370" s="3">
        <f>$C$15*M369/(L370+$C$15*M369)</f>
        <v>1.231438709448274e-23</v>
      </c>
      <c r="N370" s="3">
        <f>$C$15/L370</f>
        <v>0.06547619047619048</v>
      </c>
      <c r="O370" s="3">
        <f>IF(L370&gt;$C$15,M370/(1-N370+N370*M370),1)</f>
        <v>1.3177178546962422e-23</v>
      </c>
      <c r="P370" s="3">
        <f>IF(L370&gt;$C$15,1-O370*EXP(-(L370-$C$15)*$D$4/$B$4),0)</f>
        <v>1</v>
      </c>
      <c r="Q370" s="3">
        <f>IF(AND(L370&gt;$C$15,P370&gt;=$F$4,N370&lt;=$H$4),L370,"")</f>
        <v>28</v>
      </c>
    </row>
    <row r="371">
      <c r="L371" s="0">
        <v>29</v>
      </c>
      <c r="M371" s="3">
        <f>$C$15*M370/(L371+$C$15*M370)</f>
        <v>7.784957358581042e-25</v>
      </c>
      <c r="N371" s="3">
        <f>$C$15/L371</f>
        <v>0.0632183908045977</v>
      </c>
      <c r="O371" s="3">
        <f>IF(L371&gt;$C$15,M371/(1-N371+N371*M371),1)</f>
        <v>8.310322579098782e-25</v>
      </c>
      <c r="P371" s="3">
        <f>IF(L371&gt;$C$15,1-O371*EXP(-(L371-$C$15)*$D$4/$B$4),0)</f>
        <v>1</v>
      </c>
      <c r="Q371" s="3">
        <f>IF(AND(L371&gt;$C$15,P371&gt;=$F$4,N371&lt;=$H$4),L371,"")</f>
        <v>29</v>
      </c>
    </row>
    <row r="372">
      <c r="L372" s="0">
        <v>30</v>
      </c>
      <c r="M372" s="3">
        <f>$C$15*M371/(L372+$C$15*M371)</f>
        <v>4.757473941355081e-26</v>
      </c>
      <c r="N372" s="3">
        <f>$C$15/L372</f>
        <v>0.06111111111111111</v>
      </c>
      <c r="O372" s="3">
        <f>IF(L372&gt;$C$15,M372/(1-N372+N372*M372),1)</f>
        <v>5.0671320085438733e-26</v>
      </c>
      <c r="P372" s="3">
        <f>IF(L372&gt;$C$15,1-O372*EXP(-(L372-$C$15)*$D$4/$B$4),0)</f>
        <v>1</v>
      </c>
      <c r="Q372" s="3">
        <f>IF(AND(L372&gt;$C$15,P372&gt;=$F$4,N372&lt;=$H$4),L372,"")</f>
        <v>30</v>
      </c>
    </row>
    <row r="373">
      <c r="L373" s="0">
        <v>31</v>
      </c>
      <c r="M373" s="3">
        <f>$C$15*M372/(L373+$C$15*M372)</f>
        <v>2.8135598577906394e-27</v>
      </c>
      <c r="N373" s="3">
        <f>$C$15/L373</f>
        <v>0.059139784946236555</v>
      </c>
      <c r="O373" s="3">
        <f>IF(L373&gt;$C$15,M373/(1-N373+N373*M373),1)</f>
        <v>2.990412191708908e-27</v>
      </c>
      <c r="P373" s="3">
        <f>IF(L373&gt;$C$15,1-O373*EXP(-(L373-$C$15)*$D$4/$B$4),0)</f>
        <v>1</v>
      </c>
      <c r="Q373" s="3">
        <f>IF(AND(L373&gt;$C$15,P373&gt;=$F$4,N373&lt;=$H$4),L373,"")</f>
        <v>31</v>
      </c>
    </row>
    <row r="374">
      <c r="L374" s="0">
        <v>32</v>
      </c>
      <c r="M374" s="3">
        <f>$C$15*M373/(L374+$C$15*M373)</f>
        <v>1.6119353351925538e-28</v>
      </c>
      <c r="N374" s="3">
        <f>$C$15/L374</f>
        <v>0.057291666666666664</v>
      </c>
      <c r="O374" s="3">
        <f>IF(L374&gt;$C$15,M374/(1-N374+N374*M374),1)</f>
        <v>1.7098982561158582e-28</v>
      </c>
      <c r="P374" s="3">
        <f>IF(L374&gt;$C$15,1-O374*EXP(-(L374-$C$15)*$D$4/$B$4),0)</f>
        <v>1</v>
      </c>
      <c r="Q374" s="3">
        <f>IF(AND(L374&gt;$C$15,P374&gt;=$F$4,N374&lt;=$H$4),L374,"")</f>
        <v>32</v>
      </c>
    </row>
    <row r="375">
      <c r="L375" s="0">
        <v>33</v>
      </c>
      <c r="M375" s="3">
        <f>$C$15*M374/(L375+$C$15*M374)</f>
        <v>8.955196306625299e-30</v>
      </c>
      <c r="N375" s="3">
        <f>$C$15/L375</f>
        <v>0.05555555555555555</v>
      </c>
      <c r="O375" s="3">
        <f>IF(L375&gt;$C$15,M375/(1-N375+N375*M375),1)</f>
        <v>9.4819725599562e-30</v>
      </c>
      <c r="P375" s="3">
        <f>IF(L375&gt;$C$15,1-O375*EXP(-(L375-$C$15)*$D$4/$B$4),0)</f>
        <v>1</v>
      </c>
      <c r="Q375" s="3">
        <f>IF(AND(L375&gt;$C$15,P375&gt;=$F$4,N375&lt;=$H$4),L375,"")</f>
        <v>33</v>
      </c>
    </row>
    <row r="376">
      <c r="L376" s="0">
        <v>34</v>
      </c>
      <c r="M376" s="3">
        <f>$C$15*M375/(L376+$C$15*M375)</f>
        <v>4.828782322199916e-31</v>
      </c>
      <c r="N376" s="3">
        <f>$C$15/L376</f>
        <v>0.053921568627450976</v>
      </c>
      <c r="O376" s="3">
        <f>IF(L376&gt;$C$15,M376/(1-N376+N376*M376),1)</f>
        <v>5.103997894967788e-31</v>
      </c>
      <c r="P376" s="3">
        <f>IF(L376&gt;$C$15,1-O376*EXP(-(L376-$C$15)*$D$4/$B$4),0)</f>
        <v>1</v>
      </c>
      <c r="Q376" s="3">
        <f>IF(AND(L376&gt;$C$15,P376&gt;=$F$4,N376&lt;=$H$4),L376,"")</f>
        <v>34</v>
      </c>
    </row>
    <row r="377">
      <c r="L377" s="0">
        <v>35</v>
      </c>
      <c r="M377" s="3">
        <f>$C$15*M376/(L377+$C$15*M376)</f>
        <v>2.529362168771385e-32</v>
      </c>
      <c r="N377" s="3">
        <f>$C$15/L377</f>
        <v>0.05238095238095238</v>
      </c>
      <c r="O377" s="3">
        <f>IF(L377&gt;$C$15,M377/(1-N377+N377*M377),1)</f>
        <v>2.669176157999954e-32</v>
      </c>
      <c r="P377" s="3">
        <f>IF(L377&gt;$C$15,1-O377*EXP(-(L377-$C$15)*$D$4/$B$4),0)</f>
        <v>1</v>
      </c>
      <c r="Q377" s="3">
        <f>IF(AND(L377&gt;$C$15,P377&gt;=$F$4,N377&lt;=$H$4),L377,"")</f>
        <v>35</v>
      </c>
    </row>
    <row r="378">
      <c r="L378" s="0">
        <v>36</v>
      </c>
      <c r="M378" s="3">
        <f>$C$15*M377/(L378+$C$15*M377)</f>
        <v>1.2881011044669089e-33</v>
      </c>
      <c r="N378" s="3">
        <f>$C$15/L378</f>
        <v>0.05092592592592592</v>
      </c>
      <c r="O378" s="3">
        <f>IF(L378&gt;$C$15,M378/(1-N378+N378*M378),1)</f>
        <v>1.3572187247065967e-33</v>
      </c>
      <c r="P378" s="3">
        <f>IF(L378&gt;$C$15,1-O378*EXP(-(L378-$C$15)*$D$4/$B$4),0)</f>
        <v>1</v>
      </c>
      <c r="Q378" s="3">
        <f>IF(AND(L378&gt;$C$15,P378&gt;=$F$4,N378&lt;=$H$4),L378,"")</f>
        <v>36</v>
      </c>
    </row>
    <row r="379">
      <c r="L379" s="0">
        <v>37</v>
      </c>
      <c r="M379" s="3">
        <f>$C$15*M378/(L379+$C$15*M378)</f>
        <v>6.38248295006126e-35</v>
      </c>
      <c r="N379" s="3">
        <f>$C$15/L379</f>
        <v>0.04954954954954955</v>
      </c>
      <c r="O379" s="3">
        <f>IF(L379&gt;$C$15,M379/(1-N379+N379*M379),1)</f>
        <v>6.715219028026539e-35</v>
      </c>
      <c r="P379" s="3">
        <f>IF(L379&gt;$C$15,1-O379*EXP(-(L379-$C$15)*$D$4/$B$4),0)</f>
        <v>1</v>
      </c>
      <c r="Q379" s="3">
        <f>IF(AND(L379&gt;$C$15,P379&gt;=$F$4,N379&lt;=$H$4),L379,"")</f>
        <v>37</v>
      </c>
    </row>
    <row r="380">
      <c r="L380" s="0">
        <v>38</v>
      </c>
      <c r="M380" s="3">
        <f>$C$15*M379/(L380+$C$15*M379)</f>
        <v>3.079268089941836e-36</v>
      </c>
      <c r="N380" s="3">
        <f>$C$15/L380</f>
        <v>0.04824561403508772</v>
      </c>
      <c r="O380" s="3">
        <f>IF(L380&gt;$C$15,M380/(1-N380+N380*M380),1)</f>
        <v>3.235360020768381e-36</v>
      </c>
      <c r="P380" s="3">
        <f>IF(L380&gt;$C$15,1-O380*EXP(-(L380-$C$15)*$D$4/$B$4),0)</f>
        <v>1</v>
      </c>
      <c r="Q380" s="3">
        <f>IF(AND(L380&gt;$C$15,P380&gt;=$F$4,N380&lt;=$H$4),L380,"")</f>
        <v>38</v>
      </c>
    </row>
    <row r="381">
      <c r="L381" s="0">
        <v>39</v>
      </c>
      <c r="M381" s="3">
        <f>$C$15*M380/(L381+$C$15*M380)</f>
        <v>1.4475191875794953e-37</v>
      </c>
      <c r="N381" s="3">
        <f>$C$15/L381</f>
        <v>0.04700854700854701</v>
      </c>
      <c r="O381" s="3">
        <f>IF(L381&gt;$C$15,M381/(1-N381+N381*M381),1)</f>
        <v>1.5189214793435063e-37</v>
      </c>
      <c r="P381" s="3">
        <f>IF(L381&gt;$C$15,1-O381*EXP(-(L381-$C$15)*$D$4/$B$4),0)</f>
        <v>1</v>
      </c>
      <c r="Q381" s="3">
        <f>IF(AND(L381&gt;$C$15,P381&gt;=$F$4,N381&lt;=$H$4),L381,"")</f>
        <v>39</v>
      </c>
    </row>
    <row r="382">
      <c r="L382" s="0">
        <v>40</v>
      </c>
      <c r="M382" s="3">
        <f>$C$15*M381/(L382+$C$15*M381)</f>
        <v>6.634462943072687e-39</v>
      </c>
      <c r="N382" s="3">
        <f>$C$15/L382</f>
        <v>0.04583333333333333</v>
      </c>
      <c r="O382" s="3">
        <f>IF(L382&gt;$C$15,M382/(1-N382+N382*M382),1)</f>
        <v>6.953148935971375e-39</v>
      </c>
      <c r="P382" s="3">
        <f>IF(L382&gt;$C$15,1-O382*EXP(-(L382-$C$15)*$D$4/$B$4),0)</f>
        <v>1</v>
      </c>
      <c r="Q382" s="3">
        <f>IF(AND(L382&gt;$C$15,P382&gt;=$F$4,N382&lt;=$H$4),L382,"")</f>
        <v>40</v>
      </c>
    </row>
  </sheetData>
  <dataValidations count="4">
    <dataValidation type="decimal" operator="greaterThan" sqref="B4" showErrorMessage="1">
      <formula1>0</formula1>
    </dataValidation>
    <dataValidation type="decimal" operator="between" sqref="F4" showErrorMessage="1">
      <formula1>0.000001</formula1>
      <formula2>0.999999</formula2>
    </dataValidation>
    <dataValidation type="decimal" operator="between" sqref="H4" showErrorMessage="1">
      <formula1>0.000001</formula1>
      <formula2>1</formula2>
    </dataValidation>
    <dataValidation type="decimal" operator="between" sqref="J4" showErrorMessage="1">
      <formula1>0</formula1>
      <formula2>0.999999</formula2>
    </dataValidation>
  </dataValidations>
  <pageMargins left="0.4" right="0.4" top="0.5" bottom="0.5" header="0.3" footer="0.3"/>
  <drawing r:id="rId1"/>
</worksheet>
</file>